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IB International Company - Developing - Copy\3. BSF Machine - No Pcs\"/>
    </mc:Choice>
  </mc:AlternateContent>
  <bookViews>
    <workbookView xWindow="0" yWindow="0" windowWidth="19200" windowHeight="6950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  <sheet name="BSF-8" sheetId="31" r:id="rId9"/>
  </sheets>
  <calcPr calcId="162913"/>
</workbook>
</file>

<file path=xl/calcChain.xml><?xml version="1.0" encoding="utf-8"?>
<calcChain xmlns="http://schemas.openxmlformats.org/spreadsheetml/2006/main">
  <c r="C15" i="30" l="1"/>
  <c r="B15" i="30" s="1"/>
  <c r="C16" i="30"/>
  <c r="D16" i="30" s="1"/>
  <c r="C17" i="30"/>
  <c r="B17" i="30" s="1"/>
  <c r="E17" i="30"/>
  <c r="G17" i="30"/>
  <c r="I17" i="30"/>
  <c r="K17" i="30"/>
  <c r="C18" i="30"/>
  <c r="D18" i="30" s="1"/>
  <c r="I15" i="30" l="1"/>
  <c r="E15" i="30"/>
  <c r="K16" i="30"/>
  <c r="G16" i="30"/>
  <c r="J18" i="30"/>
  <c r="F18" i="30"/>
  <c r="B18" i="30"/>
  <c r="H17" i="30"/>
  <c r="D17" i="30"/>
  <c r="J16" i="30"/>
  <c r="F16" i="30"/>
  <c r="B16" i="30"/>
  <c r="H15" i="30"/>
  <c r="D15" i="30"/>
  <c r="K18" i="30"/>
  <c r="G18" i="30"/>
  <c r="I18" i="30"/>
  <c r="E18" i="30"/>
  <c r="I16" i="30"/>
  <c r="E16" i="30"/>
  <c r="K15" i="30"/>
  <c r="G15" i="30"/>
  <c r="H18" i="30"/>
  <c r="J17" i="30"/>
  <c r="F17" i="30"/>
  <c r="H16" i="30"/>
  <c r="J15" i="30"/>
  <c r="F15" i="30"/>
  <c r="C18" i="31"/>
  <c r="K18" i="31" s="1"/>
  <c r="C17" i="31"/>
  <c r="H17" i="31" s="1"/>
  <c r="C16" i="31"/>
  <c r="K16" i="31" s="1"/>
  <c r="C15" i="31"/>
  <c r="H15" i="31" s="1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31"/>
  <c r="H7" i="30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D18" i="31"/>
  <c r="H18" i="31"/>
  <c r="I17" i="31"/>
  <c r="B17" i="31"/>
  <c r="F17" i="31"/>
  <c r="E16" i="29"/>
  <c r="F16" i="29"/>
  <c r="H16" i="31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F18" i="26"/>
  <c r="J18" i="29"/>
  <c r="J18" i="26"/>
  <c r="B18" i="26"/>
  <c r="H18" i="26"/>
  <c r="H17" i="26"/>
  <c r="D17" i="29"/>
  <c r="J17" i="25"/>
  <c r="D17" i="26"/>
  <c r="I17" i="26"/>
  <c r="E17" i="28"/>
  <c r="J17" i="28"/>
  <c r="H17" i="29"/>
  <c r="J17" i="31"/>
  <c r="H17" i="28"/>
  <c r="I17" i="28"/>
  <c r="E17" i="25"/>
  <c r="E17" i="26"/>
  <c r="J17" i="26"/>
  <c r="B17" i="28"/>
  <c r="F17" i="28"/>
  <c r="E17" i="31"/>
  <c r="D17" i="28"/>
  <c r="J16" i="26"/>
  <c r="D16" i="26"/>
  <c r="J16" i="29"/>
  <c r="D16" i="31"/>
  <c r="J15" i="25"/>
  <c r="I15" i="28"/>
  <c r="E15" i="25"/>
  <c r="H15" i="26"/>
  <c r="E15" i="31"/>
  <c r="E15" i="28"/>
  <c r="J15" i="28"/>
  <c r="F15" i="25"/>
  <c r="D15" i="26"/>
  <c r="I15" i="26"/>
  <c r="B15" i="28"/>
  <c r="F15" i="28"/>
  <c r="D15" i="29"/>
  <c r="F15" i="31"/>
  <c r="H15" i="28"/>
  <c r="B15" i="31"/>
  <c r="I15" i="31"/>
  <c r="J15" i="31"/>
  <c r="D16" i="28"/>
  <c r="D18" i="28"/>
  <c r="H18" i="28"/>
  <c r="E15" i="29"/>
  <c r="I15" i="29"/>
  <c r="G16" i="29"/>
  <c r="K16" i="29"/>
  <c r="E17" i="29"/>
  <c r="I17" i="29"/>
  <c r="G18" i="29"/>
  <c r="K18" i="29"/>
  <c r="G15" i="31"/>
  <c r="K15" i="31"/>
  <c r="E16" i="31"/>
  <c r="I16" i="31"/>
  <c r="G17" i="31"/>
  <c r="K17" i="31"/>
  <c r="E18" i="31"/>
  <c r="I18" i="31"/>
  <c r="G16" i="28"/>
  <c r="K16" i="28"/>
  <c r="G18" i="28"/>
  <c r="K18" i="28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D15" i="31"/>
  <c r="B16" i="31"/>
  <c r="F16" i="31"/>
  <c r="J16" i="31"/>
  <c r="D17" i="31"/>
  <c r="B18" i="31"/>
  <c r="F18" i="31"/>
  <c r="J18" i="31"/>
  <c r="B16" i="28"/>
  <c r="F16" i="28"/>
  <c r="B18" i="28"/>
  <c r="F18" i="28"/>
  <c r="G15" i="29"/>
  <c r="G17" i="29"/>
  <c r="G16" i="31"/>
  <c r="G18" i="31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<sst xmlns="http://schemas.openxmlformats.org/spreadsheetml/2006/main" count="308" uniqueCount="50">
  <si>
    <t xml:space="preserve">Reg. office: 48-50, Kaptan Bazar, Dhaka-1203, </t>
  </si>
  <si>
    <t>Govt. Authorized, Courier, License No; 00.008. 2014 Issued by The Ministry of Posts, Telecommunication and information Technology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</si>
  <si>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</si>
  <si>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</si>
  <si>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</si>
  <si>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</si>
  <si>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</si>
  <si>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</si>
  <si>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</si>
  <si>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</si>
  <si>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</si>
  <si>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</si>
  <si>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</si>
  <si>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</si>
  <si>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</si>
  <si>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</si>
  <si>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</si>
  <si>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 xml:space="preserve">  </t>
  </si>
  <si>
    <t xml:space="preserve">Inspector Customs Officer </t>
  </si>
  <si>
    <t xml:space="preserve"> BY: Customs Station, Bhomra, Satkhira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</si>
  <si>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</si>
  <si>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</si>
  <si>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</si>
  <si>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</si>
  <si>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</si>
  <si>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</si>
  <si>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</si>
  <si>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</si>
  <si>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</si>
  <si>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License no: 01/LC - CA/Courier Bhomra/2024</t>
  </si>
  <si>
    <t>License no: 01/LC - CA/Courier Bhomra/2024, Date; 02/01/2022, Issued by Commissioner, Customs, Excise &amp; VAT Commissionerate, Khulna</t>
  </si>
  <si>
    <t>From: Inbex International</t>
  </si>
  <si>
    <t>INBEX INTERNATIONAL</t>
  </si>
  <si>
    <t>Bonded warehouse, Courier Store No-13, Allotted to INBEX INTERNATIONAL at Bhomra Land Authority, Ministry of Shipping.</t>
  </si>
  <si>
    <t>To: I.B International</t>
  </si>
  <si>
    <t>Date:  .10.24</t>
  </si>
  <si>
    <t>C&amp;F: Skiper Shipping Company Limited</t>
  </si>
  <si>
    <t>BIN : 004579309-0301</t>
  </si>
  <si>
    <t>License No: 03/COURIER/CUS/WB/2012</t>
  </si>
  <si>
    <t>Through: Ghojhadanga land customs station.</t>
  </si>
  <si>
    <t>Ghojhadanga land Customs Station</t>
  </si>
  <si>
    <t>MANIFEST NO: 11/10-24</t>
  </si>
  <si>
    <t>MANIFEST NO: 21/10-24</t>
  </si>
  <si>
    <t>MANIFEST NO: 22/10-24</t>
  </si>
  <si>
    <t>MANIFEST NO: 23/10-24</t>
  </si>
  <si>
    <t>MANIFEST NO: 24/10-24</t>
  </si>
  <si>
    <t>MANIFEST NO: 25/10-24</t>
  </si>
  <si>
    <t>MANIFEST NO: 26/10-24</t>
  </si>
  <si>
    <t>MANIFEST NO: 27/10-24</t>
  </si>
  <si>
    <t>MANIFEST NO: 28/10-24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</si>
</sst>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  <font>
      <sz val="15"/>
      <name val="Calibr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7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0" fillId="0" borderId="15" xfId="0" applyBorder="1"/>
    <xf numFmtId="0" fontId="19" fillId="0" borderId="0" xfId="0" applyFont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254000</xdr:rowOff>
        </xdr:from>
        <xdr:to>
          <xdr:col>2</xdr:col>
          <xdr:colOff>882650</xdr:colOff>
          <xdr:row>1</xdr:row>
          <xdr:rowOff>88900</xdr:rowOff>
        </xdr:to>
        <xdr:sp macro="" textlink="">
          <xdr:nvSpPr>
            <xdr:cNvPr id="1044" name="Run All Macro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452CAAC4-9037-4D72-AC34-B600EA0F2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</xdr:row>
          <xdr:rowOff>76200</xdr:rowOff>
        </xdr:from>
        <xdr:to>
          <xdr:col>2</xdr:col>
          <xdr:colOff>1009650</xdr:colOff>
          <xdr:row>5</xdr:row>
          <xdr:rowOff>63500</xdr:rowOff>
        </xdr:to>
        <xdr:sp macro="" textlink="">
          <xdr:nvSpPr>
            <xdr:cNvPr id="1046" name="save as value no macr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CC310D07-1827-4AE5-97A3-4869FB920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without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zoomScale="55" zoomScaleNormal="55" workbookViewId="0">
      <selection activeCell="H14" sqref="H14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32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0</v>
      </c>
      <c r="G2" s="1"/>
      <c r="H2" s="1"/>
      <c r="I2" s="1"/>
      <c r="J2" s="1"/>
      <c r="K2" s="1"/>
    </row>
    <row r="3" spans="2:17" ht="15.5" x14ac:dyDescent="0.35">
      <c r="B3" s="67" t="s">
        <v>1</v>
      </c>
      <c r="C3" s="68"/>
      <c r="D3" s="68"/>
      <c r="E3" s="68"/>
      <c r="F3" s="68"/>
      <c r="G3" s="68"/>
      <c r="H3" s="68"/>
      <c r="I3" s="68"/>
      <c r="J3" s="68"/>
      <c r="K3" s="68"/>
    </row>
    <row r="4" spans="2:17" ht="15.5" x14ac:dyDescent="0.35">
      <c r="B4" s="67" t="s">
        <v>30</v>
      </c>
      <c r="C4" s="68"/>
      <c r="D4" s="68"/>
      <c r="E4" s="68"/>
      <c r="F4" s="68"/>
      <c r="G4" s="68"/>
      <c r="H4" s="68"/>
      <c r="I4" s="68"/>
      <c r="J4" s="68"/>
      <c r="K4" s="68"/>
    </row>
    <row r="5" spans="2:17" ht="15.5" x14ac:dyDescent="0.35">
      <c r="B5" s="1"/>
      <c r="C5" s="1"/>
      <c r="D5" s="1"/>
      <c r="E5" s="1"/>
      <c r="F5" s="3" t="s">
        <v>33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36</v>
      </c>
      <c r="C7" s="1"/>
      <c r="D7" s="1"/>
      <c r="E7" s="69" t="s">
        <v>41</v>
      </c>
      <c r="F7" s="70"/>
      <c r="G7" s="1"/>
      <c r="H7" s="28" t="s">
        <v>35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31</v>
      </c>
      <c r="C9" s="6"/>
      <c r="D9" s="6"/>
      <c r="E9" s="5" t="s">
        <v>34</v>
      </c>
      <c r="F9" s="6"/>
      <c r="G9" s="19"/>
      <c r="H9" s="25"/>
      <c r="I9" s="7"/>
      <c r="J9" s="7"/>
      <c r="K9" s="8"/>
    </row>
    <row r="10" spans="2:17" ht="14.5" x14ac:dyDescent="0.35">
      <c r="B10" s="9" t="s">
        <v>37</v>
      </c>
      <c r="C10" s="4"/>
      <c r="D10" s="4"/>
      <c r="E10" s="9" t="s">
        <v>38</v>
      </c>
      <c r="F10" s="4"/>
      <c r="G10" s="20"/>
      <c r="H10" s="26" t="s">
        <v>19</v>
      </c>
      <c r="I10" s="4"/>
      <c r="J10" s="4"/>
      <c r="K10" s="10"/>
    </row>
    <row r="11" spans="2:17" ht="14.5" x14ac:dyDescent="0.35">
      <c r="B11" s="9" t="s">
        <v>29</v>
      </c>
      <c r="C11" s="4"/>
      <c r="D11" s="4"/>
      <c r="E11" s="11"/>
      <c r="F11" s="1"/>
      <c r="G11" s="21" t="s">
        <v>17</v>
      </c>
      <c r="H11" s="26" t="s">
        <v>39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3"/>
      <c r="N13" s="54"/>
    </row>
    <row r="14" spans="2:17" ht="20" x14ac:dyDescent="0.4">
      <c r="B14" s="41" t="s">
        <v>2</v>
      </c>
      <c r="C14" s="42" t="s">
        <v>3</v>
      </c>
      <c r="D14" s="42" t="s">
        <v>4</v>
      </c>
      <c r="E14" s="42" t="s">
        <v>5</v>
      </c>
      <c r="F14" s="42" t="s">
        <v>6</v>
      </c>
      <c r="G14" s="42" t="s">
        <v>7</v>
      </c>
      <c r="H14" s="42" t="s">
        <v>8</v>
      </c>
      <c r="I14" s="42" t="s">
        <v>9</v>
      </c>
      <c r="J14" s="42" t="s">
        <v>10</v>
      </c>
      <c r="K14" s="42" t="s">
        <v>11</v>
      </c>
      <c r="M14" s="53"/>
      <c r="N14" s="54"/>
    </row>
    <row r="15" spans="2:17" ht="17" customHeight="1" x14ac:dyDescent="0.4">
      <c r="B15" s="43">
        <v>1</v>
      </c>
      <c r="C15" s="44"/>
      <c r="D15" s="48"/>
      <c r="E15" s="48"/>
      <c r="F15" s="44"/>
      <c r="G15" s="44"/>
      <c r="H15" s="44"/>
      <c r="I15" s="45"/>
      <c r="J15" s="44"/>
      <c r="K15" s="46"/>
      <c r="L15" s="27"/>
      <c r="M15" s="35"/>
      <c r="N15" s="59"/>
      <c r="P15" s="65" t="s">
        <v>21</v>
      </c>
      <c r="Q15" s="65"/>
    </row>
    <row r="16" spans="2:17" ht="17" customHeight="1" x14ac:dyDescent="0.4">
      <c r="B16" s="43">
        <v>2</v>
      </c>
      <c r="C16" s="44"/>
      <c r="D16" s="48"/>
      <c r="E16" s="48"/>
      <c r="F16" s="44"/>
      <c r="G16" s="44"/>
      <c r="H16" s="44"/>
      <c r="I16" s="47"/>
      <c r="J16" s="44"/>
      <c r="K16" s="46"/>
      <c r="L16" s="34"/>
      <c r="M16" s="35"/>
      <c r="N16" s="35"/>
      <c r="P16" s="66"/>
      <c r="Q16" s="66"/>
    </row>
    <row r="17" spans="2:20" ht="17" customHeight="1" x14ac:dyDescent="0.4">
      <c r="B17" s="43">
        <v>3</v>
      </c>
      <c r="C17" s="44"/>
      <c r="D17" s="48"/>
      <c r="E17" s="48"/>
      <c r="F17" s="44"/>
      <c r="G17" s="44"/>
      <c r="H17" s="44"/>
      <c r="I17" s="47"/>
      <c r="J17" s="44"/>
      <c r="K17" s="46"/>
      <c r="L17" s="34"/>
      <c r="M17" s="53"/>
      <c r="N17" s="54"/>
      <c r="P17" s="44"/>
      <c r="Q17" s="45"/>
      <c r="S17" s="65" t="s">
        <v>25</v>
      </c>
      <c r="T17" s="65"/>
    </row>
    <row r="18" spans="2:20" ht="17" customHeight="1" x14ac:dyDescent="0.4">
      <c r="B18" s="43">
        <v>4</v>
      </c>
      <c r="C18" s="44"/>
      <c r="D18" s="48"/>
      <c r="E18" s="48"/>
      <c r="F18" s="44"/>
      <c r="G18" s="44"/>
      <c r="H18" s="44"/>
      <c r="I18" s="45"/>
      <c r="J18" s="44"/>
      <c r="K18" s="46"/>
      <c r="L18" s="34"/>
      <c r="M18" s="53"/>
      <c r="N18" s="54"/>
      <c r="P18" s="44"/>
      <c r="Q18" s="45"/>
      <c r="S18" s="66"/>
      <c r="T18" s="66"/>
    </row>
    <row r="19" spans="2:20" ht="17" customHeight="1" x14ac:dyDescent="0.4">
      <c r="B19" s="43">
        <v>5</v>
      </c>
      <c r="C19" s="44"/>
      <c r="D19" s="48"/>
      <c r="E19" s="48"/>
      <c r="F19" s="44"/>
      <c r="G19" s="44"/>
      <c r="H19" s="44"/>
      <c r="I19" s="45"/>
      <c r="J19" s="44"/>
      <c r="K19" s="46"/>
      <c r="L19" s="34"/>
      <c r="M19" s="35"/>
      <c r="N19" s="59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48"/>
      <c r="E20" s="48"/>
      <c r="F20" s="44"/>
      <c r="G20" s="44"/>
      <c r="H20" s="44"/>
      <c r="I20" s="45"/>
      <c r="J20" s="44"/>
      <c r="K20" s="46"/>
      <c r="L20" s="34"/>
      <c r="M20" s="53"/>
      <c r="N20" s="54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48"/>
      <c r="E21" s="48"/>
      <c r="F21" s="44"/>
      <c r="G21" s="44"/>
      <c r="H21" s="44"/>
      <c r="I21" s="45"/>
      <c r="J21" s="44"/>
      <c r="K21" s="46"/>
      <c r="L21" s="34"/>
      <c r="M21" s="53"/>
      <c r="N21" s="54"/>
      <c r="P21" s="53"/>
      <c r="Q21" s="54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48"/>
      <c r="E22" s="48"/>
      <c r="F22" s="44"/>
      <c r="G22" s="44"/>
      <c r="H22" s="44"/>
      <c r="I22" s="45"/>
      <c r="J22" s="44"/>
      <c r="K22" s="46"/>
      <c r="L22" s="34"/>
      <c r="M22" s="35"/>
      <c r="N22" s="59"/>
      <c r="P22" s="65" t="s">
        <v>22</v>
      </c>
      <c r="Q22" s="65"/>
      <c r="S22" s="44"/>
      <c r="T22" s="45"/>
    </row>
    <row r="23" spans="2:20" ht="17" customHeight="1" x14ac:dyDescent="0.4">
      <c r="B23" s="43">
        <v>9</v>
      </c>
      <c r="C23" s="44"/>
      <c r="D23" s="48"/>
      <c r="E23" s="48"/>
      <c r="F23" s="44"/>
      <c r="G23" s="44"/>
      <c r="H23" s="44"/>
      <c r="I23" s="45"/>
      <c r="J23" s="44"/>
      <c r="K23" s="46"/>
      <c r="L23" s="34"/>
      <c r="M23" s="35"/>
      <c r="N23" s="35"/>
      <c r="P23" s="66"/>
      <c r="Q23" s="66"/>
      <c r="S23" s="52"/>
      <c r="T23" s="34">
        <f>SUM(T19:T22)</f>
        <v>0</v>
      </c>
    </row>
    <row r="24" spans="2:20" ht="17" customHeight="1" x14ac:dyDescent="0.4">
      <c r="B24" s="43">
        <v>10</v>
      </c>
      <c r="C24" s="44"/>
      <c r="D24" s="48"/>
      <c r="E24" s="48"/>
      <c r="F24" s="44"/>
      <c r="G24" s="44"/>
      <c r="H24" s="44"/>
      <c r="I24" s="45"/>
      <c r="J24" s="44"/>
      <c r="K24" s="46"/>
      <c r="L24" s="34"/>
      <c r="M24" s="53"/>
      <c r="N24" s="54"/>
      <c r="P24" s="44"/>
      <c r="Q24" s="45"/>
    </row>
    <row r="25" spans="2:20" ht="17" customHeight="1" x14ac:dyDescent="0.4">
      <c r="B25" s="43">
        <v>11</v>
      </c>
      <c r="C25" s="44"/>
      <c r="D25" s="48"/>
      <c r="E25" s="48"/>
      <c r="F25" s="44"/>
      <c r="G25" s="44"/>
      <c r="H25" s="44"/>
      <c r="I25" s="45"/>
      <c r="J25" s="44"/>
      <c r="K25" s="46"/>
      <c r="L25" s="34"/>
      <c r="M25" s="53"/>
      <c r="N25" s="54"/>
      <c r="P25" s="44"/>
      <c r="Q25" s="45"/>
    </row>
    <row r="26" spans="2:20" ht="17" customHeight="1" x14ac:dyDescent="0.4">
      <c r="B26" s="43">
        <v>12</v>
      </c>
      <c r="C26" s="44"/>
      <c r="D26" s="48"/>
      <c r="E26" s="48"/>
      <c r="F26" s="44"/>
      <c r="G26" s="44"/>
      <c r="H26" s="44"/>
      <c r="I26" s="45"/>
      <c r="J26" s="44"/>
      <c r="K26" s="46"/>
      <c r="L26" s="34"/>
      <c r="M26" s="35"/>
      <c r="N26" s="59"/>
      <c r="P26" s="44"/>
      <c r="Q26" s="45"/>
      <c r="S26" s="65" t="s">
        <v>26</v>
      </c>
      <c r="T26" s="65"/>
    </row>
    <row r="27" spans="2:20" s="33" customFormat="1" ht="17" customHeight="1" x14ac:dyDescent="0.4">
      <c r="B27" s="43">
        <v>13</v>
      </c>
      <c r="C27" s="44"/>
      <c r="D27" s="48"/>
      <c r="E27" s="48"/>
      <c r="F27" s="44"/>
      <c r="G27" s="44"/>
      <c r="H27" s="44"/>
      <c r="I27" s="45"/>
      <c r="J27" s="44"/>
      <c r="K27" s="46"/>
      <c r="L27" s="34"/>
      <c r="M27" s="53"/>
      <c r="N27" s="54"/>
      <c r="P27" s="44"/>
      <c r="Q27" s="45"/>
      <c r="S27" s="66"/>
      <c r="T27" s="66"/>
    </row>
    <row r="28" spans="2:20" s="33" customFormat="1" ht="17" customHeight="1" x14ac:dyDescent="0.4">
      <c r="B28" s="43">
        <v>14</v>
      </c>
      <c r="C28" s="44"/>
      <c r="D28" s="48"/>
      <c r="E28" s="48"/>
      <c r="F28" s="44"/>
      <c r="G28" s="44"/>
      <c r="H28" s="44"/>
      <c r="I28" s="47"/>
      <c r="J28" s="44"/>
      <c r="K28" s="46"/>
      <c r="L28" s="34"/>
      <c r="M28" s="53"/>
      <c r="N28" s="54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48"/>
      <c r="E29" s="48"/>
      <c r="F29" s="44"/>
      <c r="G29" s="44"/>
      <c r="H29" s="44"/>
      <c r="I29" s="45"/>
      <c r="J29" s="44"/>
      <c r="K29" s="46"/>
      <c r="L29" s="34"/>
      <c r="M29" s="53"/>
      <c r="N29" s="54"/>
      <c r="S29" s="44"/>
      <c r="T29" s="45"/>
    </row>
    <row r="30" spans="2:20" s="33" customFormat="1" ht="17" customHeight="1" x14ac:dyDescent="0.4">
      <c r="B30" s="43">
        <v>16</v>
      </c>
      <c r="C30" s="44"/>
      <c r="D30" s="48"/>
      <c r="E30" s="48"/>
      <c r="F30" s="44"/>
      <c r="G30" s="44"/>
      <c r="H30" s="44"/>
      <c r="I30" s="45"/>
      <c r="J30" s="44"/>
      <c r="K30" s="46"/>
      <c r="L30" s="34"/>
      <c r="M30" s="53"/>
      <c r="N30" s="56"/>
      <c r="P30" s="65" t="s">
        <v>23</v>
      </c>
      <c r="Q30" s="65"/>
      <c r="S30" s="44"/>
      <c r="T30" s="45"/>
    </row>
    <row r="31" spans="2:20" s="33" customFormat="1" ht="17" customHeight="1" x14ac:dyDescent="0.4">
      <c r="B31" s="43">
        <v>17</v>
      </c>
      <c r="C31" s="44"/>
      <c r="D31" s="48"/>
      <c r="E31" s="48"/>
      <c r="F31" s="44"/>
      <c r="G31" s="44"/>
      <c r="H31" s="44"/>
      <c r="I31" s="45"/>
      <c r="J31" s="44"/>
      <c r="K31" s="46"/>
      <c r="L31" s="34"/>
      <c r="M31" s="35"/>
      <c r="N31" s="59"/>
      <c r="P31" s="66"/>
      <c r="Q31" s="66"/>
      <c r="S31" s="44"/>
      <c r="T31" s="45"/>
    </row>
    <row r="32" spans="2:20" s="33" customFormat="1" ht="17" customHeight="1" x14ac:dyDescent="0.4">
      <c r="B32" s="43">
        <v>18</v>
      </c>
      <c r="C32" s="44"/>
      <c r="D32" s="48"/>
      <c r="E32" s="48"/>
      <c r="F32" s="44"/>
      <c r="G32" s="44"/>
      <c r="H32" s="44"/>
      <c r="I32" s="45"/>
      <c r="J32" s="44"/>
      <c r="K32" s="46"/>
      <c r="L32" s="34"/>
      <c r="M32" s="53"/>
      <c r="N32" s="54"/>
      <c r="P32" s="44"/>
      <c r="Q32" s="45"/>
      <c r="S32" s="52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48"/>
      <c r="E33" s="48"/>
      <c r="F33" s="44"/>
      <c r="G33" s="44"/>
      <c r="H33" s="44"/>
      <c r="I33" s="45"/>
      <c r="J33" s="44"/>
      <c r="K33" s="46"/>
      <c r="L33" s="34"/>
      <c r="M33" s="53"/>
      <c r="N33" s="54"/>
      <c r="P33" s="44"/>
      <c r="Q33" s="45"/>
    </row>
    <row r="34" spans="2:20" ht="17" customHeight="1" x14ac:dyDescent="0.4">
      <c r="B34" s="43">
        <v>20</v>
      </c>
      <c r="C34" s="44"/>
      <c r="D34" s="48"/>
      <c r="E34" s="48"/>
      <c r="F34" s="44"/>
      <c r="G34" s="44"/>
      <c r="H34" s="44"/>
      <c r="I34" s="45"/>
      <c r="J34" s="44"/>
      <c r="K34" s="46"/>
      <c r="L34" s="34"/>
      <c r="M34" s="53"/>
      <c r="N34" s="54"/>
      <c r="P34" s="44"/>
      <c r="Q34" s="45"/>
    </row>
    <row r="35" spans="2:20" ht="17" customHeight="1" x14ac:dyDescent="0.4">
      <c r="B35" s="43">
        <v>21</v>
      </c>
      <c r="C35" s="44"/>
      <c r="D35" s="48"/>
      <c r="E35" s="48"/>
      <c r="F35" s="44"/>
      <c r="G35" s="44"/>
      <c r="H35" s="44"/>
      <c r="I35" s="47"/>
      <c r="J35" s="44"/>
      <c r="K35" s="46"/>
      <c r="L35" s="34"/>
      <c r="M35" s="35"/>
      <c r="N35" s="35"/>
      <c r="P35" s="44"/>
      <c r="Q35" s="45"/>
    </row>
    <row r="36" spans="2:20" s="40" customFormat="1" ht="17" customHeight="1" x14ac:dyDescent="0.4">
      <c r="B36" s="43">
        <v>22</v>
      </c>
      <c r="C36" s="44"/>
      <c r="D36" s="48"/>
      <c r="E36" s="48"/>
      <c r="F36" s="44"/>
      <c r="G36" s="44"/>
      <c r="H36" s="44"/>
      <c r="I36" s="45"/>
      <c r="J36" s="44"/>
      <c r="K36" s="46"/>
      <c r="L36" s="34"/>
      <c r="M36" s="35"/>
      <c r="N36" s="35"/>
      <c r="P36" s="52"/>
      <c r="Q36" s="34">
        <f>SUM(Q32:Q35)</f>
        <v>0</v>
      </c>
      <c r="S36" s="65" t="s">
        <v>27</v>
      </c>
      <c r="T36" s="65"/>
    </row>
    <row r="37" spans="2:20" s="40" customFormat="1" ht="17" customHeight="1" x14ac:dyDescent="0.4">
      <c r="B37" s="43">
        <v>23</v>
      </c>
      <c r="C37" s="44"/>
      <c r="D37" s="48"/>
      <c r="E37" s="48"/>
      <c r="F37" s="44"/>
      <c r="G37" s="44"/>
      <c r="H37" s="44"/>
      <c r="I37" s="47"/>
      <c r="J37" s="44"/>
      <c r="K37" s="46"/>
      <c r="L37" s="34"/>
      <c r="M37" s="35"/>
      <c r="N37" s="35"/>
      <c r="S37" s="66"/>
      <c r="T37" s="66"/>
    </row>
    <row r="38" spans="2:20" s="40" customFormat="1" ht="17" customHeight="1" x14ac:dyDescent="0.4">
      <c r="B38" s="43">
        <v>24</v>
      </c>
      <c r="C38" s="44"/>
      <c r="D38" s="48"/>
      <c r="E38" s="48"/>
      <c r="F38" s="44"/>
      <c r="G38" s="44"/>
      <c r="H38" s="44"/>
      <c r="I38" s="45"/>
      <c r="J38" s="44"/>
      <c r="K38" s="46"/>
      <c r="L38" s="34"/>
      <c r="M38" s="35"/>
      <c r="N38" s="35"/>
      <c r="P38" s="65" t="s">
        <v>24</v>
      </c>
      <c r="Q38" s="65"/>
      <c r="S38" s="44"/>
      <c r="T38" s="45"/>
    </row>
    <row r="39" spans="2:20" ht="17" customHeight="1" x14ac:dyDescent="0.4">
      <c r="B39" s="43">
        <v>25</v>
      </c>
      <c r="C39" s="44"/>
      <c r="D39" s="48"/>
      <c r="E39" s="48"/>
      <c r="F39" s="44"/>
      <c r="G39" s="44"/>
      <c r="H39" s="44"/>
      <c r="I39" s="47"/>
      <c r="J39" s="44"/>
      <c r="K39" s="46"/>
      <c r="L39" s="34"/>
      <c r="M39" s="35"/>
      <c r="N39" s="35"/>
      <c r="P39" s="66"/>
      <c r="Q39" s="66"/>
      <c r="S39" s="44"/>
      <c r="T39" s="45"/>
    </row>
    <row r="40" spans="2:20" ht="17" customHeight="1" x14ac:dyDescent="0.4">
      <c r="B40" s="43">
        <v>26</v>
      </c>
      <c r="C40" s="44"/>
      <c r="D40" s="48"/>
      <c r="E40" s="48"/>
      <c r="F40" s="44"/>
      <c r="G40" s="44"/>
      <c r="H40" s="44"/>
      <c r="I40" s="45"/>
      <c r="J40" s="44"/>
      <c r="K40" s="46"/>
      <c r="L40" s="34"/>
      <c r="M40" s="35"/>
      <c r="N40" s="35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48"/>
      <c r="E41" s="48"/>
      <c r="F41" s="44"/>
      <c r="G41" s="44"/>
      <c r="H41" s="44"/>
      <c r="I41" s="47"/>
      <c r="J41" s="44"/>
      <c r="K41" s="46"/>
      <c r="L41" s="34"/>
      <c r="M41" s="35"/>
      <c r="N41" s="35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48"/>
      <c r="E42" s="48"/>
      <c r="F42" s="44"/>
      <c r="G42" s="44"/>
      <c r="H42" s="44"/>
      <c r="I42" s="47"/>
      <c r="J42" s="44"/>
      <c r="K42" s="46"/>
      <c r="L42" s="34"/>
      <c r="M42" s="53"/>
      <c r="N42" s="56"/>
      <c r="P42" s="60"/>
      <c r="Q42" s="45"/>
      <c r="S42" s="52"/>
      <c r="T42" s="34">
        <f>SUM(T38:T41)</f>
        <v>0</v>
      </c>
    </row>
    <row r="43" spans="2:20" ht="17" customHeight="1" x14ac:dyDescent="0.4">
      <c r="B43" s="43">
        <v>29</v>
      </c>
      <c r="C43" s="44"/>
      <c r="D43" s="48"/>
      <c r="E43" s="48"/>
      <c r="F43" s="44"/>
      <c r="G43" s="44"/>
      <c r="H43" s="44"/>
      <c r="I43" s="45"/>
      <c r="J43" s="44"/>
      <c r="K43" s="46"/>
      <c r="L43" s="34"/>
      <c r="M43" s="35"/>
      <c r="N43" s="35"/>
      <c r="P43" s="60"/>
      <c r="Q43" s="45"/>
    </row>
    <row r="44" spans="2:20" ht="17" customHeight="1" x14ac:dyDescent="0.4">
      <c r="B44" s="43">
        <v>30</v>
      </c>
      <c r="C44" s="44"/>
      <c r="D44" s="48"/>
      <c r="E44" s="48"/>
      <c r="F44" s="44"/>
      <c r="G44" s="44"/>
      <c r="H44" s="44"/>
      <c r="I44" s="47"/>
      <c r="J44" s="44"/>
      <c r="K44" s="46"/>
      <c r="L44" s="34"/>
      <c r="M44" s="35"/>
      <c r="N44" s="35"/>
      <c r="P44" s="52"/>
      <c r="Q44" s="34">
        <f>SUM(Q40:Q43)</f>
        <v>0</v>
      </c>
      <c r="S44" s="65" t="s">
        <v>28</v>
      </c>
      <c r="T44" s="65"/>
    </row>
    <row r="45" spans="2:20" ht="17" customHeight="1" x14ac:dyDescent="0.4">
      <c r="B45" s="43">
        <v>31</v>
      </c>
      <c r="C45" s="44"/>
      <c r="D45" s="55"/>
      <c r="E45" s="55"/>
      <c r="F45" s="44"/>
      <c r="G45" s="44"/>
      <c r="H45" s="44"/>
      <c r="I45" s="47"/>
      <c r="J45" s="44"/>
      <c r="K45" s="46"/>
      <c r="L45" s="34"/>
      <c r="M45" s="35"/>
      <c r="N45" s="35"/>
      <c r="S45" s="66"/>
      <c r="T45" s="66"/>
    </row>
    <row r="46" spans="2:20" ht="17" customHeight="1" x14ac:dyDescent="0.4">
      <c r="B46" s="43">
        <v>32</v>
      </c>
      <c r="C46" s="44"/>
      <c r="D46" s="48"/>
      <c r="E46" s="48"/>
      <c r="F46" s="44"/>
      <c r="G46" s="44"/>
      <c r="H46" s="44"/>
      <c r="I46" s="47"/>
      <c r="J46" s="44"/>
      <c r="K46" s="46"/>
      <c r="L46" s="34"/>
      <c r="M46" s="53"/>
      <c r="N46" s="56"/>
      <c r="S46" s="44"/>
      <c r="T46" s="45"/>
    </row>
    <row r="47" spans="2:20" ht="15.75" customHeight="1" x14ac:dyDescent="0.4">
      <c r="B47" s="43">
        <v>33</v>
      </c>
      <c r="C47" s="44"/>
      <c r="D47" s="55"/>
      <c r="E47" s="55"/>
      <c r="F47" s="44"/>
      <c r="G47" s="44"/>
      <c r="H47" s="44"/>
      <c r="I47" s="47"/>
      <c r="J47" s="44"/>
      <c r="K47" s="46"/>
      <c r="M47" s="35"/>
      <c r="N47" s="35"/>
      <c r="S47" s="44"/>
      <c r="T47" s="45"/>
    </row>
    <row r="48" spans="2:20" ht="15.75" customHeight="1" x14ac:dyDescent="0.4">
      <c r="B48" s="43">
        <v>34</v>
      </c>
      <c r="C48" s="44"/>
      <c r="D48" s="48"/>
      <c r="E48" s="48"/>
      <c r="F48" s="44"/>
      <c r="G48" s="44"/>
      <c r="H48" s="44"/>
      <c r="I48" s="47"/>
      <c r="J48" s="44"/>
      <c r="K48" s="46"/>
      <c r="M48" s="53"/>
      <c r="N48" s="56"/>
      <c r="S48" s="44"/>
      <c r="T48" s="45"/>
    </row>
    <row r="49" spans="2:20" ht="15.75" customHeight="1" x14ac:dyDescent="0.4">
      <c r="B49" s="43">
        <v>35</v>
      </c>
      <c r="C49" s="44"/>
      <c r="D49" s="48"/>
      <c r="E49" s="48"/>
      <c r="F49" s="44"/>
      <c r="G49" s="44"/>
      <c r="H49" s="44"/>
      <c r="I49" s="45"/>
      <c r="J49" s="44"/>
      <c r="K49" s="46"/>
      <c r="M49" s="53"/>
      <c r="N49" s="56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2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3"/>
      <c r="N51" s="56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3"/>
      <c r="N52" s="56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3"/>
      <c r="N53" s="54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3"/>
      <c r="N54" s="54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3"/>
      <c r="N55" s="56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20</v>
      </c>
      <c r="I57" s="31">
        <f>SUM(I15:I56)</f>
        <v>0</v>
      </c>
      <c r="J57" s="30" t="s">
        <v>20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12</v>
      </c>
      <c r="C61" s="23"/>
      <c r="D61" s="24" t="s">
        <v>13</v>
      </c>
      <c r="F61" s="17" t="s">
        <v>18</v>
      </c>
      <c r="G61" s="18"/>
      <c r="H61" s="1"/>
      <c r="I61" s="17" t="s">
        <v>14</v>
      </c>
    </row>
    <row r="62" spans="2:20" ht="15.75" customHeight="1" x14ac:dyDescent="0.35">
      <c r="B62" s="23" t="s">
        <v>15</v>
      </c>
      <c r="C62" s="23"/>
      <c r="D62" s="23" t="s">
        <v>16</v>
      </c>
      <c r="E62" s="1"/>
      <c r="F62" s="18" t="s">
        <v>40</v>
      </c>
      <c r="G62" s="18"/>
      <c r="H62" s="18"/>
      <c r="I62" s="18" t="s">
        <v>40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B3:K3"/>
    <mergeCell ref="B4:K4"/>
    <mergeCell ref="E7:F7"/>
    <mergeCell ref="P15:Q16"/>
    <mergeCell ref="P22:Q23"/>
    <mergeCell ref="S44:T45"/>
    <mergeCell ref="P30:Q31"/>
    <mergeCell ref="P38:Q39"/>
    <mergeCell ref="S17:T18"/>
    <mergeCell ref="S26:T27"/>
    <mergeCell ref="S36:T37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Run All Macro">
              <controlPr defaultSize="0" print="0" autoFill="0" autoPict="0" macro="[0]!RunAllMacros">
                <anchor moveWithCells="1" sizeWithCells="1">
                  <from>
                    <xdr:col>1</xdr:col>
                    <xdr:colOff>114300</xdr:colOff>
                    <xdr:row>0</xdr:row>
                    <xdr:rowOff>254000</xdr:rowOff>
                  </from>
                  <to>
                    <xdr:col>2</xdr:col>
                    <xdr:colOff>882650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save as value no macro">
              <controlPr defaultSize="0" print="0" autoFill="0" autoPict="0" macro="[0]!SaveEachSheetAsSeparateWorkbook">
                <anchor moveWithCells="1" sizeWithCells="1">
                  <from>
                    <xdr:col>1</xdr:col>
                    <xdr:colOff>114300</xdr:colOff>
                    <xdr:row>3</xdr:row>
                    <xdr:rowOff>76200</xdr:rowOff>
                  </from>
                  <to>
                    <xdr:col>2</xdr:col>
                    <xdr:colOff>1009650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zoomScale="70" zoomScaleNormal="70" workbookViewId="0">
      <selection activeCell="E7" sqref="E7:F7"/>
    </sheetView>
  </sheetViews>
  <sheetFormatPr defaultColWidth="14.36328125" defaultRowHeight="14.5" x14ac:dyDescent="0.35"/>
  <cols>
    <col min="1" max="1" width="2" style="50" customWidth="1"/>
    <col min="2" max="2" width="10.36328125" style="50" customWidth="1"/>
    <col min="3" max="3" width="14.453125" style="50" customWidth="1"/>
    <col min="4" max="4" width="31" style="50" customWidth="1"/>
    <col min="5" max="5" width="32.81640625" style="50" customWidth="1"/>
    <col min="6" max="6" width="11.6328125" style="50" customWidth="1"/>
    <col min="7" max="7" width="13.36328125" style="50" customWidth="1"/>
    <col min="8" max="8" width="34.81640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32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0</v>
      </c>
      <c r="G2" s="1"/>
      <c r="H2" s="1"/>
      <c r="I2" s="1"/>
      <c r="J2" s="1"/>
      <c r="K2" s="1"/>
    </row>
    <row r="3" spans="2:12" ht="15.5" x14ac:dyDescent="0.35">
      <c r="B3" s="67" t="s">
        <v>1</v>
      </c>
      <c r="C3" s="68"/>
      <c r="D3" s="68"/>
      <c r="E3" s="68"/>
      <c r="F3" s="68"/>
      <c r="G3" s="68"/>
      <c r="H3" s="68"/>
      <c r="I3" s="68"/>
      <c r="J3" s="68"/>
      <c r="K3" s="68"/>
    </row>
    <row r="4" spans="2:12" ht="15.5" x14ac:dyDescent="0.35">
      <c r="B4" s="67" t="s">
        <v>30</v>
      </c>
      <c r="C4" s="68"/>
      <c r="D4" s="68"/>
      <c r="E4" s="68"/>
      <c r="F4" s="68"/>
      <c r="G4" s="68"/>
      <c r="H4" s="68"/>
      <c r="I4" s="68"/>
      <c r="J4" s="68"/>
      <c r="K4" s="68"/>
    </row>
    <row r="5" spans="2:12" ht="15.5" x14ac:dyDescent="0.35">
      <c r="B5" s="1"/>
      <c r="C5" s="1"/>
      <c r="D5" s="1"/>
      <c r="E5" s="1"/>
      <c r="F5" s="49" t="s">
        <v>33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36</v>
      </c>
      <c r="C7" s="1"/>
      <c r="D7" s="1"/>
      <c r="E7" s="69" t="s">
        <v>42</v>
      </c>
      <c r="F7" s="71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31</v>
      </c>
      <c r="C9" s="6"/>
      <c r="D9" s="6"/>
      <c r="E9" s="5" t="s">
        <v>34</v>
      </c>
      <c r="F9" s="6"/>
      <c r="G9" s="19"/>
      <c r="H9" s="25"/>
      <c r="I9" s="7"/>
      <c r="J9" s="7"/>
      <c r="K9" s="8"/>
    </row>
    <row r="10" spans="2:12" x14ac:dyDescent="0.35">
      <c r="B10" s="9" t="s">
        <v>37</v>
      </c>
      <c r="C10" s="4"/>
      <c r="D10" s="4"/>
      <c r="E10" s="9" t="s">
        <v>38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29</v>
      </c>
      <c r="C11" s="4"/>
      <c r="D11" s="4"/>
      <c r="E11" s="11"/>
      <c r="F11" s="1"/>
      <c r="G11" s="21" t="s">
        <v>17</v>
      </c>
      <c r="H11" s="26" t="s">
        <v>39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2" t="str">
        <f>IF(C15="", "","1")</f>
        <v/>
      </c>
      <c r="C15" s="63" t="str">
        <f>IF(Sheet1!P17=0,"",Sheet1!P17)</f>
        <v/>
      </c>
      <c r="D15" s="64" t="str">
        <f>IF(C15="", "", VLOOKUP(C15,Sheet1!C15:K56,2,1))</f>
        <v/>
      </c>
      <c r="E15" s="64" t="str">
        <f>IF(C15="", "",VLOOKUP(C15,Sheet1!C15:K56,3,1))</f>
        <v/>
      </c>
      <c r="F15" s="64" t="str">
        <f>IF(C15="", "",VLOOKUP(C15,Sheet1!C15:K56,4,1))</f>
        <v/>
      </c>
      <c r="G15" s="64" t="str">
        <f>IF(C15="", "",VLOOKUP(C15,Sheet1!C15:K56,5,1))</f>
        <v/>
      </c>
      <c r="H15" s="64" t="str">
        <f>IF(C15="", "",VLOOKUP(C15,Sheet1!C15:K56,6,1))</f>
        <v/>
      </c>
      <c r="I15" s="64" t="str">
        <f>IF(C15="", "",VLOOKUP(C15,Sheet1!C15:K56,7,1))</f>
        <v/>
      </c>
      <c r="J15" s="64" t="str">
        <f>IF(C15="", "",VLOOKUP(C15,Sheet1!C15:K56,8,1))</f>
        <v/>
      </c>
      <c r="K15" s="64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IF(Sheet1!P18=0,"",Sheet1!P18)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IF(Sheet1!P19=0,"",Sheet1!P19)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IF(Sheet1!P20=0,"",Sheet1!P20)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40</v>
      </c>
      <c r="G26" s="18"/>
      <c r="H26" s="18"/>
      <c r="I26" s="18" t="s">
        <v>40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zoomScale="70" zoomScaleNormal="70" workbookViewId="0">
      <selection activeCell="E7" sqref="E7:F7"/>
    </sheetView>
  </sheetViews>
  <sheetFormatPr defaultColWidth="14.36328125" defaultRowHeight="14.5" x14ac:dyDescent="0.35"/>
  <cols>
    <col min="1" max="1" width="2" style="58" customWidth="1"/>
    <col min="2" max="2" width="10.36328125" style="58" customWidth="1"/>
    <col min="3" max="3" width="14.453125" style="58" customWidth="1"/>
    <col min="4" max="4" width="31" style="58" customWidth="1"/>
    <col min="5" max="5" width="32.81640625" style="58" customWidth="1"/>
    <col min="6" max="6" width="11.6328125" style="58" customWidth="1"/>
    <col min="7" max="7" width="13.36328125" style="58" customWidth="1"/>
    <col min="8" max="8" width="34.81640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32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7" t="s">
        <v>1</v>
      </c>
      <c r="C3" s="68"/>
      <c r="D3" s="68"/>
      <c r="E3" s="68"/>
      <c r="F3" s="68"/>
      <c r="G3" s="68"/>
      <c r="H3" s="68"/>
      <c r="I3" s="68"/>
      <c r="J3" s="68"/>
      <c r="K3" s="68"/>
    </row>
    <row r="4" spans="2:12" ht="15.5" x14ac:dyDescent="0.35">
      <c r="B4" s="67" t="s">
        <v>30</v>
      </c>
      <c r="C4" s="68"/>
      <c r="D4" s="68"/>
      <c r="E4" s="68"/>
      <c r="F4" s="68"/>
      <c r="G4" s="68"/>
      <c r="H4" s="68"/>
      <c r="I4" s="68"/>
      <c r="J4" s="68"/>
      <c r="K4" s="68"/>
    </row>
    <row r="5" spans="2:12" ht="15.5" x14ac:dyDescent="0.35">
      <c r="B5" s="1"/>
      <c r="C5" s="1"/>
      <c r="D5" s="1"/>
      <c r="E5" s="1"/>
      <c r="F5" s="57" t="s">
        <v>33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36</v>
      </c>
      <c r="C7" s="1"/>
      <c r="D7" s="1"/>
      <c r="E7" s="69" t="s">
        <v>43</v>
      </c>
      <c r="F7" s="71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31</v>
      </c>
      <c r="C9" s="6"/>
      <c r="D9" s="6"/>
      <c r="E9" s="5" t="s">
        <v>34</v>
      </c>
      <c r="F9" s="6"/>
      <c r="G9" s="19"/>
      <c r="H9" s="25"/>
      <c r="I9" s="7"/>
      <c r="J9" s="7"/>
      <c r="K9" s="8"/>
    </row>
    <row r="10" spans="2:12" x14ac:dyDescent="0.35">
      <c r="B10" s="9" t="s">
        <v>37</v>
      </c>
      <c r="C10" s="4"/>
      <c r="D10" s="4"/>
      <c r="E10" s="9" t="s">
        <v>38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29</v>
      </c>
      <c r="C11" s="4"/>
      <c r="D11" s="4"/>
      <c r="E11" s="11"/>
      <c r="F11" s="1"/>
      <c r="G11" s="21" t="s">
        <v>17</v>
      </c>
      <c r="H11" s="26" t="s">
        <v>39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IF(Sheet1!P24=0,"",Sheet1!P24)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IF(Sheet1!P25=0,"",Sheet1!P25)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IF(Sheet1!P26=0,"",Sheet1!P26)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IF(Sheet1!P27=0,"",Sheet1!P27)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40</v>
      </c>
      <c r="G26" s="18"/>
      <c r="H26" s="18"/>
      <c r="I26" s="18" t="s">
        <v>40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zoomScale="70" zoomScaleNormal="70" workbookViewId="0">
      <selection activeCell="E7" sqref="E7:F7"/>
    </sheetView>
  </sheetViews>
  <sheetFormatPr defaultColWidth="14.36328125" defaultRowHeight="14.5" x14ac:dyDescent="0.35"/>
  <cols>
    <col min="1" max="1" width="2" style="58" customWidth="1"/>
    <col min="2" max="2" width="10.36328125" style="58" customWidth="1"/>
    <col min="3" max="3" width="14.453125" style="58" customWidth="1"/>
    <col min="4" max="4" width="31" style="58" customWidth="1"/>
    <col min="5" max="5" width="32.81640625" style="58" customWidth="1"/>
    <col min="6" max="6" width="11.6328125" style="58" customWidth="1"/>
    <col min="7" max="7" width="13.36328125" style="58" customWidth="1"/>
    <col min="8" max="8" width="34.81640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32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7" t="s">
        <v>1</v>
      </c>
      <c r="C3" s="68"/>
      <c r="D3" s="68"/>
      <c r="E3" s="68"/>
      <c r="F3" s="68"/>
      <c r="G3" s="68"/>
      <c r="H3" s="68"/>
      <c r="I3" s="68"/>
      <c r="J3" s="68"/>
      <c r="K3" s="68"/>
    </row>
    <row r="4" spans="2:12" ht="15.5" x14ac:dyDescent="0.35">
      <c r="B4" s="67" t="s">
        <v>30</v>
      </c>
      <c r="C4" s="68"/>
      <c r="D4" s="68"/>
      <c r="E4" s="68"/>
      <c r="F4" s="68"/>
      <c r="G4" s="68"/>
      <c r="H4" s="68"/>
      <c r="I4" s="68"/>
      <c r="J4" s="68"/>
      <c r="K4" s="68"/>
    </row>
    <row r="5" spans="2:12" ht="15.5" x14ac:dyDescent="0.35">
      <c r="B5" s="1"/>
      <c r="C5" s="1"/>
      <c r="D5" s="1"/>
      <c r="E5" s="1"/>
      <c r="F5" s="57" t="s">
        <v>33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36</v>
      </c>
      <c r="C7" s="1"/>
      <c r="D7" s="1"/>
      <c r="E7" s="69" t="s">
        <v>44</v>
      </c>
      <c r="F7" s="71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31</v>
      </c>
      <c r="C9" s="6"/>
      <c r="D9" s="6"/>
      <c r="E9" s="5" t="s">
        <v>34</v>
      </c>
      <c r="F9" s="6"/>
      <c r="G9" s="19"/>
      <c r="H9" s="25"/>
      <c r="I9" s="7"/>
      <c r="J9" s="7"/>
      <c r="K9" s="8"/>
    </row>
    <row r="10" spans="2:12" x14ac:dyDescent="0.35">
      <c r="B10" s="9" t="s">
        <v>37</v>
      </c>
      <c r="C10" s="4"/>
      <c r="D10" s="4"/>
      <c r="E10" s="9" t="s">
        <v>38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29</v>
      </c>
      <c r="C11" s="4"/>
      <c r="D11" s="4"/>
      <c r="E11" s="11"/>
      <c r="F11" s="1"/>
      <c r="G11" s="21" t="s">
        <v>17</v>
      </c>
      <c r="H11" s="26" t="s">
        <v>39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2" t="str">
        <f>IF(C15="", "","1")</f>
        <v/>
      </c>
      <c r="C15" s="63" t="str">
        <f>IF(Sheet1!P32=0,"",Sheet1!P32)</f>
        <v/>
      </c>
      <c r="D15" s="64" t="str">
        <f>IF(C15="", "", VLOOKUP(C15,Sheet1!C15:K56,2,1))</f>
        <v/>
      </c>
      <c r="E15" s="64" t="str">
        <f>IF(C15="", "",VLOOKUP(C15,Sheet1!C15:K56,3,1))</f>
        <v/>
      </c>
      <c r="F15" s="64" t="str">
        <f>IF(C15="", "",VLOOKUP(C15,Sheet1!C15:K56,4,1))</f>
        <v/>
      </c>
      <c r="G15" s="64" t="str">
        <f>IF(C15="", "",VLOOKUP(C15,Sheet1!C15:K56,5,1))</f>
        <v/>
      </c>
      <c r="H15" s="64" t="str">
        <f>IF(C15="", "",VLOOKUP(C15,Sheet1!C15:K56,6,1))</f>
        <v/>
      </c>
      <c r="I15" s="64" t="str">
        <f>IF(C15="", "",VLOOKUP(C15,Sheet1!C15:K56,7,1))</f>
        <v/>
      </c>
      <c r="J15" s="64" t="str">
        <f>IF(C15="", "",VLOOKUP(C15,Sheet1!C15:K56,8,1))</f>
        <v/>
      </c>
      <c r="K15" s="64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IF(Sheet1!P33=0,"",Sheet1!P33)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IF(Sheet1!P34=0,"",Sheet1!P34)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IF(Sheet1!P35=0,"",Sheet1!P35)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40</v>
      </c>
      <c r="G26" s="18"/>
      <c r="H26" s="18"/>
      <c r="I26" s="18" t="s">
        <v>40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zoomScale="70" zoomScaleNormal="70" workbookViewId="0">
      <selection activeCell="E7" sqref="E7:F7"/>
    </sheetView>
  </sheetViews>
  <sheetFormatPr defaultColWidth="14.36328125" defaultRowHeight="14.5" x14ac:dyDescent="0.35"/>
  <cols>
    <col min="1" max="1" width="2" style="58" customWidth="1"/>
    <col min="2" max="2" width="10.36328125" style="58" customWidth="1"/>
    <col min="3" max="3" width="14.453125" style="58" customWidth="1"/>
    <col min="4" max="4" width="31" style="58" customWidth="1"/>
    <col min="5" max="5" width="32.81640625" style="58" customWidth="1"/>
    <col min="6" max="6" width="11.6328125" style="58" customWidth="1"/>
    <col min="7" max="7" width="13.36328125" style="58" customWidth="1"/>
    <col min="8" max="8" width="34.81640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32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7" t="s">
        <v>1</v>
      </c>
      <c r="C3" s="68"/>
      <c r="D3" s="68"/>
      <c r="E3" s="68"/>
      <c r="F3" s="68"/>
      <c r="G3" s="68"/>
      <c r="H3" s="68"/>
      <c r="I3" s="68"/>
      <c r="J3" s="68"/>
      <c r="K3" s="68"/>
    </row>
    <row r="4" spans="2:12" ht="15.5" x14ac:dyDescent="0.35">
      <c r="B4" s="67" t="s">
        <v>30</v>
      </c>
      <c r="C4" s="68"/>
      <c r="D4" s="68"/>
      <c r="E4" s="68"/>
      <c r="F4" s="68"/>
      <c r="G4" s="68"/>
      <c r="H4" s="68"/>
      <c r="I4" s="68"/>
      <c r="J4" s="68"/>
      <c r="K4" s="68"/>
    </row>
    <row r="5" spans="2:12" ht="15.5" x14ac:dyDescent="0.35">
      <c r="B5" s="1"/>
      <c r="C5" s="1"/>
      <c r="D5" s="1"/>
      <c r="E5" s="1"/>
      <c r="F5" s="57" t="s">
        <v>33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36</v>
      </c>
      <c r="C7" s="1"/>
      <c r="D7" s="1"/>
      <c r="E7" s="69" t="s">
        <v>45</v>
      </c>
      <c r="F7" s="71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31</v>
      </c>
      <c r="C9" s="6"/>
      <c r="D9" s="6"/>
      <c r="E9" s="5" t="s">
        <v>34</v>
      </c>
      <c r="F9" s="6"/>
      <c r="G9" s="19"/>
      <c r="H9" s="25"/>
      <c r="I9" s="7"/>
      <c r="J9" s="7"/>
      <c r="K9" s="8"/>
    </row>
    <row r="10" spans="2:12" x14ac:dyDescent="0.35">
      <c r="B10" s="9" t="s">
        <v>37</v>
      </c>
      <c r="C10" s="4"/>
      <c r="D10" s="4"/>
      <c r="E10" s="9" t="s">
        <v>38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29</v>
      </c>
      <c r="C11" s="4"/>
      <c r="D11" s="4"/>
      <c r="E11" s="11"/>
      <c r="F11" s="1"/>
      <c r="G11" s="21" t="s">
        <v>17</v>
      </c>
      <c r="H11" s="26" t="s">
        <v>39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2" t="str">
        <f>IF(C15="", "","1")</f>
        <v/>
      </c>
      <c r="C15" s="63" t="str">
        <f>IF(Sheet1!P40=0,"",Sheet1!P40)</f>
        <v/>
      </c>
      <c r="D15" s="64" t="str">
        <f>IF(C15="", "", VLOOKUP(C15,Sheet1!C15:K56,2,1))</f>
        <v/>
      </c>
      <c r="E15" s="64" t="str">
        <f>IF(C15="", "",VLOOKUP(C15,Sheet1!C15:K56,3,1))</f>
        <v/>
      </c>
      <c r="F15" s="64" t="str">
        <f>IF(C15="", "",VLOOKUP(C15,Sheet1!C15:K56,4,1))</f>
        <v/>
      </c>
      <c r="G15" s="64" t="str">
        <f>IF(C15="", "",VLOOKUP(C15,Sheet1!C15:K56,5,1))</f>
        <v/>
      </c>
      <c r="H15" s="64" t="str">
        <f>IF(C15="", "",VLOOKUP(C15,Sheet1!C15:K56,6,1))</f>
        <v/>
      </c>
      <c r="I15" s="64" t="str">
        <f>IF(C15="", "",VLOOKUP(C15,Sheet1!C15:K56,7,1))</f>
        <v/>
      </c>
      <c r="J15" s="64" t="str">
        <f>IF(C15="", "",VLOOKUP(C15,Sheet1!C15:K56,8,1))</f>
        <v/>
      </c>
      <c r="K15" s="64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IF(Sheet1!P41=0,"",Sheet1!P41)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IF(Sheet1!P42=0,"",Sheet1!P42)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IF(Sheet1!P43=0,"",Sheet1!P43)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40</v>
      </c>
      <c r="G26" s="18"/>
      <c r="H26" s="18"/>
      <c r="I26" s="18" t="s">
        <v>40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zoomScale="70" zoomScaleNormal="70" workbookViewId="0">
      <selection activeCell="E7" sqref="E7:F7"/>
    </sheetView>
  </sheetViews>
  <sheetFormatPr defaultColWidth="14.36328125" defaultRowHeight="14.5" x14ac:dyDescent="0.35"/>
  <cols>
    <col min="1" max="1" width="2" style="58" customWidth="1"/>
    <col min="2" max="2" width="10.36328125" style="58" customWidth="1"/>
    <col min="3" max="3" width="14.453125" style="58" customWidth="1"/>
    <col min="4" max="4" width="31" style="58" customWidth="1"/>
    <col min="5" max="5" width="32.81640625" style="58" customWidth="1"/>
    <col min="6" max="6" width="11.6328125" style="58" customWidth="1"/>
    <col min="7" max="7" width="13.36328125" style="58" customWidth="1"/>
    <col min="8" max="8" width="34.81640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32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7" t="s">
        <v>1</v>
      </c>
      <c r="C3" s="68"/>
      <c r="D3" s="68"/>
      <c r="E3" s="68"/>
      <c r="F3" s="68"/>
      <c r="G3" s="68"/>
      <c r="H3" s="68"/>
      <c r="I3" s="68"/>
      <c r="J3" s="68"/>
      <c r="K3" s="68"/>
    </row>
    <row r="4" spans="2:12" ht="15.5" x14ac:dyDescent="0.35">
      <c r="B4" s="67" t="s">
        <v>30</v>
      </c>
      <c r="C4" s="68"/>
      <c r="D4" s="68"/>
      <c r="E4" s="68"/>
      <c r="F4" s="68"/>
      <c r="G4" s="68"/>
      <c r="H4" s="68"/>
      <c r="I4" s="68"/>
      <c r="J4" s="68"/>
      <c r="K4" s="68"/>
    </row>
    <row r="5" spans="2:12" ht="15.5" x14ac:dyDescent="0.35">
      <c r="B5" s="1"/>
      <c r="C5" s="1"/>
      <c r="D5" s="1"/>
      <c r="E5" s="1"/>
      <c r="F5" s="57" t="s">
        <v>33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36</v>
      </c>
      <c r="C7" s="1"/>
      <c r="D7" s="1"/>
      <c r="E7" s="69" t="s">
        <v>46</v>
      </c>
      <c r="F7" s="71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31</v>
      </c>
      <c r="C9" s="6"/>
      <c r="D9" s="6"/>
      <c r="E9" s="5" t="s">
        <v>34</v>
      </c>
      <c r="F9" s="6"/>
      <c r="G9" s="19"/>
      <c r="H9" s="25"/>
      <c r="I9" s="7"/>
      <c r="J9" s="7"/>
      <c r="K9" s="8"/>
    </row>
    <row r="10" spans="2:12" x14ac:dyDescent="0.35">
      <c r="B10" s="9" t="s">
        <v>37</v>
      </c>
      <c r="C10" s="4"/>
      <c r="D10" s="4"/>
      <c r="E10" s="9" t="s">
        <v>38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29</v>
      </c>
      <c r="C11" s="4"/>
      <c r="D11" s="4"/>
      <c r="E11" s="11"/>
      <c r="F11" s="1"/>
      <c r="G11" s="21" t="s">
        <v>17</v>
      </c>
      <c r="H11" s="26" t="s">
        <v>39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2" t="str">
        <f>IF(C15="", "","1")</f>
        <v/>
      </c>
      <c r="C15" s="63" t="str">
        <f>IF(Sheet1!S19=0,"",Sheet1!S19)</f>
        <v/>
      </c>
      <c r="D15" s="64" t="str">
        <f>IF(C15="", "", VLOOKUP(C15,Sheet1!C15:K56,2,1))</f>
        <v/>
      </c>
      <c r="E15" s="64" t="str">
        <f>IF(C15="", "",VLOOKUP(C15,Sheet1!C15:K56,3,1))</f>
        <v/>
      </c>
      <c r="F15" s="64" t="str">
        <f>IF(C15="", "",VLOOKUP(C15,Sheet1!C15:K56,4,1))</f>
        <v/>
      </c>
      <c r="G15" s="64" t="str">
        <f>IF(C15="", "",VLOOKUP(C15,Sheet1!C15:K56,5,1))</f>
        <v/>
      </c>
      <c r="H15" s="64" t="str">
        <f>IF(C15="", "",VLOOKUP(C15,Sheet1!C15:K56,6,1))</f>
        <v/>
      </c>
      <c r="I15" s="64" t="str">
        <f>IF(C15="", "",VLOOKUP(C15,Sheet1!C15:K56,7,1))</f>
        <v/>
      </c>
      <c r="J15" s="64" t="str">
        <f>IF(C15="", "",VLOOKUP(C15,Sheet1!C15:K56,8,1))</f>
        <v/>
      </c>
      <c r="K15" s="64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IF(Sheet1!S20=0,"",Sheet1!S20)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IF(Sheet1!S21=0,"",Sheet1!S21)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IF(Sheet1!S22=0,"",Sheet1!S22)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40</v>
      </c>
      <c r="G26" s="18"/>
      <c r="H26" s="18"/>
      <c r="I26" s="18" t="s">
        <v>40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zoomScale="70" zoomScaleNormal="70" workbookViewId="0">
      <selection activeCell="E7" sqref="E7:F7"/>
    </sheetView>
  </sheetViews>
  <sheetFormatPr defaultColWidth="14.36328125" defaultRowHeight="14.5" x14ac:dyDescent="0.35"/>
  <cols>
    <col min="1" max="1" width="2" style="58" customWidth="1"/>
    <col min="2" max="2" width="10.36328125" style="58" customWidth="1"/>
    <col min="3" max="3" width="14.453125" style="58" customWidth="1"/>
    <col min="4" max="4" width="31" style="58" customWidth="1"/>
    <col min="5" max="5" width="32.81640625" style="58" customWidth="1"/>
    <col min="6" max="6" width="11.6328125" style="58" customWidth="1"/>
    <col min="7" max="7" width="13.36328125" style="58" customWidth="1"/>
    <col min="8" max="8" width="34.81640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32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7" t="s">
        <v>1</v>
      </c>
      <c r="C3" s="68"/>
      <c r="D3" s="68"/>
      <c r="E3" s="68"/>
      <c r="F3" s="68"/>
      <c r="G3" s="68"/>
      <c r="H3" s="68"/>
      <c r="I3" s="68"/>
      <c r="J3" s="68"/>
      <c r="K3" s="68"/>
    </row>
    <row r="4" spans="2:12" ht="15.5" x14ac:dyDescent="0.35">
      <c r="B4" s="67" t="s">
        <v>30</v>
      </c>
      <c r="C4" s="68"/>
      <c r="D4" s="68"/>
      <c r="E4" s="68"/>
      <c r="F4" s="68"/>
      <c r="G4" s="68"/>
      <c r="H4" s="68"/>
      <c r="I4" s="68"/>
      <c r="J4" s="68"/>
      <c r="K4" s="68"/>
    </row>
    <row r="5" spans="2:12" ht="15.5" x14ac:dyDescent="0.35">
      <c r="B5" s="1"/>
      <c r="C5" s="1"/>
      <c r="D5" s="1"/>
      <c r="E5" s="1"/>
      <c r="F5" s="57" t="s">
        <v>33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36</v>
      </c>
      <c r="C7" s="1"/>
      <c r="D7" s="1"/>
      <c r="E7" s="69" t="s">
        <v>47</v>
      </c>
      <c r="F7" s="71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31</v>
      </c>
      <c r="C9" s="6"/>
      <c r="D9" s="6"/>
      <c r="E9" s="5" t="s">
        <v>34</v>
      </c>
      <c r="F9" s="6"/>
      <c r="G9" s="19"/>
      <c r="H9" s="25"/>
      <c r="I9" s="7"/>
      <c r="J9" s="7"/>
      <c r="K9" s="8"/>
    </row>
    <row r="10" spans="2:12" x14ac:dyDescent="0.35">
      <c r="B10" s="9" t="s">
        <v>37</v>
      </c>
      <c r="C10" s="4"/>
      <c r="D10" s="4"/>
      <c r="E10" s="9" t="s">
        <v>38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29</v>
      </c>
      <c r="C11" s="4"/>
      <c r="D11" s="4"/>
      <c r="E11" s="11"/>
      <c r="F11" s="1"/>
      <c r="G11" s="21" t="s">
        <v>17</v>
      </c>
      <c r="H11" s="26" t="s">
        <v>39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IF(Sheet1!S28=0,"",Sheet1!S28)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IF(Sheet1!S29=0,"",Sheet1!S29)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IF(Sheet1!S30=0,"",Sheet1!S30)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IF(Sheet1!S31=0,"",Sheet1!S31)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40</v>
      </c>
      <c r="G26" s="18"/>
      <c r="H26" s="18"/>
      <c r="I26" s="18" t="s">
        <v>40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zoomScale="70" zoomScaleNormal="70" workbookViewId="0">
      <selection activeCell="E7" sqref="E7:F7"/>
    </sheetView>
  </sheetViews>
  <sheetFormatPr defaultColWidth="14.36328125" defaultRowHeight="14.5" x14ac:dyDescent="0.35"/>
  <cols>
    <col min="1" max="1" width="2" style="58" customWidth="1"/>
    <col min="2" max="2" width="10.36328125" style="58" customWidth="1"/>
    <col min="3" max="3" width="14.453125" style="58" customWidth="1"/>
    <col min="4" max="4" width="31" style="58" customWidth="1"/>
    <col min="5" max="5" width="32.81640625" style="58" customWidth="1"/>
    <col min="6" max="6" width="11.6328125" style="58" customWidth="1"/>
    <col min="7" max="7" width="13.36328125" style="58" customWidth="1"/>
    <col min="8" max="8" width="34.81640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32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7" t="s">
        <v>1</v>
      </c>
      <c r="C3" s="68"/>
      <c r="D3" s="68"/>
      <c r="E3" s="68"/>
      <c r="F3" s="68"/>
      <c r="G3" s="68"/>
      <c r="H3" s="68"/>
      <c r="I3" s="68"/>
      <c r="J3" s="68"/>
      <c r="K3" s="68"/>
    </row>
    <row r="4" spans="2:12" ht="15.5" x14ac:dyDescent="0.35">
      <c r="B4" s="67" t="s">
        <v>30</v>
      </c>
      <c r="C4" s="68"/>
      <c r="D4" s="68"/>
      <c r="E4" s="68"/>
      <c r="F4" s="68"/>
      <c r="G4" s="68"/>
      <c r="H4" s="68"/>
      <c r="I4" s="68"/>
      <c r="J4" s="68"/>
      <c r="K4" s="68"/>
    </row>
    <row r="5" spans="2:12" ht="15.5" x14ac:dyDescent="0.35">
      <c r="B5" s="1"/>
      <c r="C5" s="1"/>
      <c r="D5" s="1"/>
      <c r="E5" s="1"/>
      <c r="F5" s="57" t="s">
        <v>33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36</v>
      </c>
      <c r="C7" s="1"/>
      <c r="D7" s="1"/>
      <c r="E7" s="69" t="s">
        <v>48</v>
      </c>
      <c r="F7" s="71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31</v>
      </c>
      <c r="C9" s="6"/>
      <c r="D9" s="6"/>
      <c r="E9" s="5" t="s">
        <v>34</v>
      </c>
      <c r="F9" s="6"/>
      <c r="G9" s="19"/>
      <c r="H9" s="25"/>
      <c r="I9" s="7"/>
      <c r="J9" s="7"/>
      <c r="K9" s="8"/>
    </row>
    <row r="10" spans="2:12" x14ac:dyDescent="0.35">
      <c r="B10" s="9" t="s">
        <v>37</v>
      </c>
      <c r="C10" s="4"/>
      <c r="D10" s="4"/>
      <c r="E10" s="9" t="s">
        <v>38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29</v>
      </c>
      <c r="C11" s="4"/>
      <c r="D11" s="4"/>
      <c r="E11" s="11"/>
      <c r="F11" s="1"/>
      <c r="G11" s="21" t="s">
        <v>17</v>
      </c>
      <c r="H11" s="26" t="s">
        <v>39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2" t="str">
        <f>IF(C15="", "","1")</f>
        <v/>
      </c>
      <c r="C15" s="63" t="str">
        <f>IF(Sheet1!S38=0,"",Sheet1!S38)</f>
        <v/>
      </c>
      <c r="D15" s="64" t="str">
        <f>IF(C15="", "", VLOOKUP(C15,Sheet1!C15:K56,2,1))</f>
        <v/>
      </c>
      <c r="E15" s="64" t="str">
        <f>IF(C15="", "",VLOOKUP(C15,Sheet1!C15:K56,3,1))</f>
        <v/>
      </c>
      <c r="F15" s="64" t="str">
        <f>IF(C15="", "",VLOOKUP(C15,Sheet1!C15:K56,4,1))</f>
        <v/>
      </c>
      <c r="G15" s="64" t="str">
        <f>IF(C15="", "",VLOOKUP(C15,Sheet1!C15:K56,5,1))</f>
        <v/>
      </c>
      <c r="H15" s="64" t="str">
        <f>IF(C15="", "",VLOOKUP(C15,Sheet1!C15:K56,6,1))</f>
        <v/>
      </c>
      <c r="I15" s="64" t="str">
        <f>IF(C15="", "",VLOOKUP(C15,Sheet1!C15:K56,7,1))</f>
        <v/>
      </c>
      <c r="J15" s="64" t="str">
        <f>IF(C15="", "",VLOOKUP(C15,Sheet1!C15:K56,8,1))</f>
        <v/>
      </c>
      <c r="K15" s="64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IF(Sheet1!S39=0,"",Sheet1!S39)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IF(Sheet1!S40=0,"",Sheet1!S40)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IF(Sheet1!S41=0,"",Sheet1!S41)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40</v>
      </c>
      <c r="G26" s="18"/>
      <c r="H26" s="18"/>
      <c r="I26" s="18" t="s">
        <v>40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zoomScale="70" zoomScaleNormal="70" workbookViewId="0">
      <selection activeCell="E7" sqref="E7:F7"/>
    </sheetView>
  </sheetViews>
  <sheetFormatPr defaultColWidth="14.36328125" defaultRowHeight="14.5" x14ac:dyDescent="0.35"/>
  <cols>
    <col min="1" max="1" width="2" style="58" customWidth="1"/>
    <col min="2" max="2" width="10.36328125" style="58" customWidth="1"/>
    <col min="3" max="3" width="14.453125" style="58" customWidth="1"/>
    <col min="4" max="4" width="31" style="58" customWidth="1"/>
    <col min="5" max="5" width="32.81640625" style="58" customWidth="1"/>
    <col min="6" max="6" width="11.6328125" style="58" customWidth="1"/>
    <col min="7" max="7" width="13.36328125" style="58" customWidth="1"/>
    <col min="8" max="8" width="34.81640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32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7" t="s">
        <v>1</v>
      </c>
      <c r="C3" s="68"/>
      <c r="D3" s="68"/>
      <c r="E3" s="68"/>
      <c r="F3" s="68"/>
      <c r="G3" s="68"/>
      <c r="H3" s="68"/>
      <c r="I3" s="68"/>
      <c r="J3" s="68"/>
      <c r="K3" s="68"/>
    </row>
    <row r="4" spans="2:12" ht="15.5" x14ac:dyDescent="0.35">
      <c r="B4" s="67" t="s">
        <v>30</v>
      </c>
      <c r="C4" s="68"/>
      <c r="D4" s="68"/>
      <c r="E4" s="68"/>
      <c r="F4" s="68"/>
      <c r="G4" s="68"/>
      <c r="H4" s="68"/>
      <c r="I4" s="68"/>
      <c r="J4" s="68"/>
      <c r="K4" s="68"/>
    </row>
    <row r="5" spans="2:12" ht="15.5" x14ac:dyDescent="0.35">
      <c r="B5" s="1"/>
      <c r="C5" s="1"/>
      <c r="D5" s="1"/>
      <c r="E5" s="1"/>
      <c r="F5" s="57" t="s">
        <v>33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36</v>
      </c>
      <c r="C7" s="1"/>
      <c r="D7" s="1"/>
      <c r="E7" s="69" t="s">
        <v>49</v>
      </c>
      <c r="F7" s="71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31</v>
      </c>
      <c r="C9" s="6"/>
      <c r="D9" s="6"/>
      <c r="E9" s="5" t="s">
        <v>34</v>
      </c>
      <c r="F9" s="6"/>
      <c r="G9" s="19"/>
      <c r="H9" s="25"/>
      <c r="I9" s="7"/>
      <c r="J9" s="7"/>
      <c r="K9" s="8"/>
    </row>
    <row r="10" spans="2:12" x14ac:dyDescent="0.35">
      <c r="B10" s="9" t="s">
        <v>37</v>
      </c>
      <c r="C10" s="4"/>
      <c r="D10" s="4"/>
      <c r="E10" s="9" t="s">
        <v>38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29</v>
      </c>
      <c r="C11" s="4"/>
      <c r="D11" s="4"/>
      <c r="E11" s="11"/>
      <c r="F11" s="1"/>
      <c r="G11" s="21" t="s">
        <v>17</v>
      </c>
      <c r="H11" s="26" t="s">
        <v>39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IF(Sheet1!S46=0,"",Sheet1!S46)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IF(Sheet1!S47=0,"",Sheet1!S47)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IF(Sheet1!S48=0,"",Sheet1!S48)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IF(Sheet1!S49=0,"",Sheet1!S49)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40</v>
      </c>
      <c r="G26" s="18"/>
      <c r="H26" s="18"/>
      <c r="I26" s="18" t="s">
        <v>40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2024-10-26T07:18:26Z</cp:lastPrinted>
  <dcterms:created xsi:type="dcterms:W3CDTF">2006-09-16T00:00:00Z</dcterms:created>
  <dcterms:modified xsi:type="dcterms:W3CDTF">2024-10-26T10:39:11Z</dcterms:modified>
</cp:coreProperties>
</file>