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BD Custom Machine\"/>
    </mc:Choice>
  </mc:AlternateContent>
  <bookViews>
    <workbookView xWindow="0" yWindow="0" windowWidth="19200" windowHeight="6950" tabRatio="947"/>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<sst xmlns="http://schemas.openxmlformats.org/spreadsheetml/2006/main" count="862" uniqueCount="123">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</sst>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0" fontId="4" fillId="0" borderId="7" xfId="0" applyFont="1" applyBorder="1" applyAlignment="1">
      <alignment horizontal="center" vertical="center" wrapTex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3" fillId="0" borderId="0" xfId="0" applyFont="1" applyAlignment="1">
      <alignment horizontal="left"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0"/>
  <sheetViews>
    <sheetView tabSelected="1" zoomScale="70" zoomScaleNormal="70" workbookViewId="0">
      <selection activeCell="C18" sqref="C18"/>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s>
  <sheetData>
    <row r="1" spans="1:6" ht="26.5" customHeight="1">
      <c r="A1" s="62" t="s">
        <v>66</v>
      </c>
      <c r="B1" s="62"/>
      <c r="C1" s="62"/>
    </row>
    <row r="2" spans="1:6">
      <c r="A2" s="63">
        <v>1</v>
      </c>
      <c r="B2" s="61" t="s">
        <v>81</v>
      </c>
      <c r="C2" s="61" t="s">
        <v>88</v>
      </c>
      <c r="E2" s="61" t="s">
        <v>81</v>
      </c>
      <c r="F2" s="61" t="s">
        <v>88</v>
      </c>
    </row>
    <row r="3" spans="1:6">
      <c r="A3" s="63">
        <v>2</v>
      </c>
      <c r="B3" s="61" t="s">
        <v>81</v>
      </c>
      <c r="C3" s="61" t="s">
        <v>88</v>
      </c>
      <c r="E3" s="61" t="s">
        <v>108</v>
      </c>
      <c r="F3" s="61" t="s">
        <v>117</v>
      </c>
    </row>
    <row r="4" spans="1:6">
      <c r="A4" s="63">
        <v>3</v>
      </c>
      <c r="B4" s="61" t="s">
        <v>81</v>
      </c>
      <c r="C4" s="61" t="s">
        <v>88</v>
      </c>
      <c r="E4" s="61" t="s">
        <v>109</v>
      </c>
      <c r="F4" s="61" t="s">
        <v>118</v>
      </c>
    </row>
    <row r="5" spans="1:6">
      <c r="A5" s="63">
        <v>4</v>
      </c>
      <c r="B5" s="61" t="s">
        <v>108</v>
      </c>
      <c r="C5" s="61" t="s">
        <v>117</v>
      </c>
      <c r="E5" s="61" t="s">
        <v>74</v>
      </c>
      <c r="F5" s="61" t="s">
        <v>91</v>
      </c>
    </row>
    <row r="6" spans="1:6">
      <c r="A6" s="63">
        <v>5</v>
      </c>
      <c r="B6" s="61" t="s">
        <v>108</v>
      </c>
      <c r="C6" s="61" t="s">
        <v>117</v>
      </c>
      <c r="E6" s="61" t="s">
        <v>83</v>
      </c>
      <c r="F6" s="61" t="s">
        <v>100</v>
      </c>
    </row>
    <row r="7" spans="1:6">
      <c r="A7" s="63">
        <v>6</v>
      </c>
      <c r="B7" s="61" t="s">
        <v>108</v>
      </c>
      <c r="C7" s="61" t="s">
        <v>117</v>
      </c>
      <c r="E7" s="61" t="s">
        <v>80</v>
      </c>
      <c r="F7" t="s">
        <v>101</v>
      </c>
    </row>
    <row r="8" spans="1:6">
      <c r="A8" s="63">
        <v>7</v>
      </c>
      <c r="B8" s="61" t="s">
        <v>109</v>
      </c>
      <c r="C8" s="61" t="s">
        <v>118</v>
      </c>
      <c r="E8" s="61" t="s">
        <v>70</v>
      </c>
      <c r="F8" s="61" t="s">
        <v>86</v>
      </c>
    </row>
    <row r="9" spans="1:6">
      <c r="A9" s="63">
        <v>8</v>
      </c>
      <c r="B9" s="61" t="s">
        <v>109</v>
      </c>
      <c r="C9" s="61" t="s">
        <v>118</v>
      </c>
      <c r="E9" s="61" t="s">
        <v>68</v>
      </c>
      <c r="F9" s="61" t="s">
        <v>93</v>
      </c>
    </row>
    <row r="10" spans="1:6">
      <c r="A10" s="63">
        <v>9</v>
      </c>
      <c r="B10" s="61" t="s">
        <v>109</v>
      </c>
      <c r="C10" s="61" t="s">
        <v>118</v>
      </c>
      <c r="E10" s="61" t="s">
        <v>67</v>
      </c>
      <c r="F10" s="61" t="s">
        <v>84</v>
      </c>
    </row>
    <row r="11" spans="1:6">
      <c r="A11" s="63">
        <v>10</v>
      </c>
      <c r="B11" s="61" t="s">
        <v>74</v>
      </c>
      <c r="C11" s="61" t="s">
        <v>91</v>
      </c>
      <c r="E11" s="61" t="s">
        <v>107</v>
      </c>
      <c r="F11" s="61" t="s">
        <v>116</v>
      </c>
    </row>
    <row r="12" spans="1:6">
      <c r="A12" s="63">
        <v>11</v>
      </c>
      <c r="B12" s="61" t="s">
        <v>74</v>
      </c>
      <c r="C12" s="61" t="s">
        <v>91</v>
      </c>
      <c r="E12" s="61" t="s">
        <v>114</v>
      </c>
      <c r="F12" s="61" t="s">
        <v>122</v>
      </c>
    </row>
    <row r="13" spans="1:6">
      <c r="A13" s="63">
        <v>12</v>
      </c>
      <c r="B13" s="61" t="s">
        <v>74</v>
      </c>
      <c r="C13" s="61" t="s">
        <v>91</v>
      </c>
      <c r="E13" s="61" t="s">
        <v>111</v>
      </c>
      <c r="F13" s="61" t="s">
        <v>120</v>
      </c>
    </row>
    <row r="14" spans="1:6">
      <c r="A14" s="63">
        <v>13</v>
      </c>
      <c r="B14" s="61" t="s">
        <v>83</v>
      </c>
      <c r="C14" s="61" t="s">
        <v>100</v>
      </c>
      <c r="E14" s="61" t="s">
        <v>112</v>
      </c>
      <c r="F14" s="61" t="s">
        <v>121</v>
      </c>
    </row>
    <row r="15" spans="1:6">
      <c r="A15" s="63">
        <v>14</v>
      </c>
      <c r="B15" s="61" t="s">
        <v>83</v>
      </c>
      <c r="C15" s="61" t="s">
        <v>100</v>
      </c>
      <c r="E15" s="61" t="s">
        <v>78</v>
      </c>
      <c r="F15" s="61" t="s">
        <v>96</v>
      </c>
    </row>
    <row r="16" spans="1:6">
      <c r="A16" s="63">
        <v>15</v>
      </c>
      <c r="B16" s="61" t="s">
        <v>83</v>
      </c>
      <c r="C16" s="61" t="s">
        <v>100</v>
      </c>
      <c r="E16" s="61" t="s">
        <v>75</v>
      </c>
      <c r="F16" s="61" t="s">
        <v>92</v>
      </c>
    </row>
    <row r="17" spans="1:9">
      <c r="A17" s="63">
        <v>16</v>
      </c>
      <c r="B17" s="61" t="s">
        <v>80</v>
      </c>
      <c r="C17" t="s">
        <v>101</v>
      </c>
      <c r="E17" s="61" t="s">
        <v>79</v>
      </c>
      <c r="F17" s="61" t="s">
        <v>97</v>
      </c>
    </row>
    <row r="18" spans="1:9">
      <c r="A18" s="63">
        <v>17</v>
      </c>
      <c r="B18" s="61" t="s">
        <v>80</v>
      </c>
      <c r="C18" t="s">
        <v>101</v>
      </c>
      <c r="E18" s="61" t="s">
        <v>69</v>
      </c>
      <c r="F18" s="61" t="s">
        <v>85</v>
      </c>
    </row>
    <row r="19" spans="1:9">
      <c r="A19" s="63">
        <v>18</v>
      </c>
      <c r="B19" s="61" t="s">
        <v>80</v>
      </c>
      <c r="C19" t="s">
        <v>101</v>
      </c>
      <c r="E19" s="61" t="s">
        <v>77</v>
      </c>
      <c r="F19" s="61" t="s">
        <v>95</v>
      </c>
    </row>
    <row r="20" spans="1:9">
      <c r="A20" s="63">
        <v>19</v>
      </c>
      <c r="B20" s="61" t="s">
        <v>70</v>
      </c>
      <c r="C20" s="61" t="s">
        <v>86</v>
      </c>
      <c r="E20" s="61" t="s">
        <v>72</v>
      </c>
      <c r="F20" s="61" t="s">
        <v>89</v>
      </c>
    </row>
    <row r="21" spans="1:9">
      <c r="A21" s="63">
        <v>20</v>
      </c>
      <c r="B21" s="61" t="s">
        <v>70</v>
      </c>
      <c r="C21" s="61" t="s">
        <v>86</v>
      </c>
      <c r="E21" s="61" t="s">
        <v>76</v>
      </c>
      <c r="F21" s="61" t="s">
        <v>94</v>
      </c>
    </row>
    <row r="22" spans="1:9">
      <c r="A22" s="63">
        <v>21</v>
      </c>
      <c r="B22" s="61" t="s">
        <v>70</v>
      </c>
      <c r="C22" s="61" t="s">
        <v>86</v>
      </c>
      <c r="E22" s="61" t="s">
        <v>71</v>
      </c>
      <c r="F22" s="61" t="s">
        <v>87</v>
      </c>
    </row>
    <row r="23" spans="1:9">
      <c r="A23" s="63">
        <v>22</v>
      </c>
      <c r="B23" s="61" t="s">
        <v>68</v>
      </c>
      <c r="C23" s="61" t="s">
        <v>93</v>
      </c>
      <c r="E23" s="61" t="s">
        <v>106</v>
      </c>
      <c r="F23" s="61" t="s">
        <v>115</v>
      </c>
    </row>
    <row r="24" spans="1:9">
      <c r="A24" s="63">
        <v>23</v>
      </c>
      <c r="B24" s="61" t="s">
        <v>68</v>
      </c>
      <c r="C24" s="61" t="s">
        <v>93</v>
      </c>
      <c r="E24" s="61" t="s">
        <v>81</v>
      </c>
      <c r="F24" s="61" t="s">
        <v>84</v>
      </c>
    </row>
    <row r="25" spans="1:9">
      <c r="A25" s="63">
        <v>24</v>
      </c>
      <c r="B25" s="61" t="s">
        <v>68</v>
      </c>
      <c r="C25" s="61" t="s">
        <v>93</v>
      </c>
      <c r="E25" s="61" t="s">
        <v>113</v>
      </c>
      <c r="F25" s="61" t="s">
        <v>122</v>
      </c>
    </row>
    <row r="26" spans="1:9">
      <c r="A26" s="63">
        <v>25</v>
      </c>
      <c r="B26" s="61" t="s">
        <v>67</v>
      </c>
      <c r="C26" s="61" t="s">
        <v>84</v>
      </c>
      <c r="E26" s="61" t="s">
        <v>110</v>
      </c>
      <c r="F26" s="61" t="s">
        <v>119</v>
      </c>
    </row>
    <row r="27" spans="1:9">
      <c r="A27" s="63">
        <v>26</v>
      </c>
      <c r="B27" s="61" t="s">
        <v>67</v>
      </c>
      <c r="C27" s="61" t="s">
        <v>84</v>
      </c>
      <c r="E27" s="61" t="s">
        <v>80</v>
      </c>
      <c r="F27" s="61" t="s">
        <v>98</v>
      </c>
    </row>
    <row r="28" spans="1:9">
      <c r="A28" s="63">
        <v>27</v>
      </c>
      <c r="B28" s="61" t="s">
        <v>67</v>
      </c>
      <c r="C28" s="61" t="s">
        <v>84</v>
      </c>
      <c r="E28" s="61" t="s">
        <v>81</v>
      </c>
      <c r="F28" s="61" t="s">
        <v>102</v>
      </c>
      <c r="H28" s="67"/>
      <c r="I28" s="67"/>
    </row>
    <row r="29" spans="1:9">
      <c r="A29" s="63">
        <v>28</v>
      </c>
      <c r="B29" s="61" t="s">
        <v>107</v>
      </c>
      <c r="C29" s="61" t="s">
        <v>116</v>
      </c>
      <c r="E29" s="61" t="s">
        <v>73</v>
      </c>
      <c r="F29" s="61" t="s">
        <v>90</v>
      </c>
      <c r="H29" s="67"/>
      <c r="I29" s="67"/>
    </row>
    <row r="30" spans="1:9">
      <c r="A30" s="63">
        <v>29</v>
      </c>
      <c r="B30" s="61" t="s">
        <v>107</v>
      </c>
      <c r="C30" s="61" t="s">
        <v>116</v>
      </c>
      <c r="E30" s="61" t="s">
        <v>82</v>
      </c>
      <c r="F30" s="61" t="s">
        <v>99</v>
      </c>
      <c r="H30" s="67"/>
      <c r="I30" s="67"/>
    </row>
    <row r="31" spans="1:9">
      <c r="B31" s="61" t="s">
        <v>107</v>
      </c>
      <c r="C31" s="61" t="s">
        <v>116</v>
      </c>
      <c r="H31" s="68"/>
      <c r="I31" s="68"/>
    </row>
    <row r="32" spans="1:9">
      <c r="H32" s="67"/>
      <c r="I32" s="67"/>
    </row>
    <row r="33" spans="8:9">
      <c r="H33" s="68"/>
      <c r="I33" s="68"/>
    </row>
    <row r="34" spans="8:9">
      <c r="H34" s="67"/>
      <c r="I34" s="67"/>
    </row>
    <row r="35" spans="8:9">
      <c r="H35" s="68"/>
      <c r="I35" s="68"/>
    </row>
    <row r="36" spans="8:9">
      <c r="H36" s="67"/>
      <c r="I36" s="67"/>
    </row>
    <row r="37" spans="8:9">
      <c r="H37" s="68"/>
      <c r="I37" s="68"/>
    </row>
    <row r="38" spans="8:9">
      <c r="H38" s="67"/>
      <c r="I38" s="67"/>
    </row>
    <row r="39" spans="8:9">
      <c r="H39" s="67"/>
      <c r="I39" s="67"/>
    </row>
    <row r="40" spans="8:9">
      <c r="H40" s="67"/>
      <c r="I40" s="6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opLeftCell="A7" zoomScale="55" zoomScaleNormal="55" workbookViewId="0">
      <selection activeCell="H35" sqref="H35"/>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103</v>
      </c>
      <c r="H7" s="65" t="s">
        <v>104</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menifest'!$D$15</f>
        <v>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f>
        <v>Bongshal, Dhaka</v>
      </c>
      <c r="B4" s="127"/>
      <c r="C4" s="128"/>
      <c r="D4" s="142" t="s">
        <v>3</v>
      </c>
      <c r="E4" s="143"/>
      <c r="F4" s="143"/>
      <c r="G4" s="148">
        <f>'Full menifest'!$C$15</f>
        <v>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4"/>
    </row>
    <row r="8" spans="1:14" ht="31" customHeight="1">
      <c r="A8" s="52" t="s">
        <v>4</v>
      </c>
      <c r="B8" s="121">
        <f>'Full menifest'!$E$15</f>
        <v>1</v>
      </c>
      <c r="C8" s="121"/>
      <c r="D8" s="86" t="s">
        <v>5</v>
      </c>
      <c r="E8" s="86"/>
      <c r="F8" s="86"/>
      <c r="G8" s="122" t="s">
        <v>6</v>
      </c>
      <c r="H8" s="123"/>
      <c r="I8" s="2"/>
    </row>
    <row r="9" spans="1:14" ht="23.5" customHeight="1">
      <c r="A9" s="126" t="str">
        <f>'Address Mode'!C2</f>
        <v>Salt Lake,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menifest'!$H$15</f>
        <v>1</v>
      </c>
      <c r="B15" s="84"/>
      <c r="C15" s="85"/>
      <c r="D15" s="86" t="s">
        <v>19</v>
      </c>
      <c r="E15" s="86"/>
      <c r="F15" s="87">
        <f>'Full menifest'!$I$15</f>
        <v>1</v>
      </c>
      <c r="G15" s="88"/>
      <c r="H15" s="91">
        <f>'Full menifest'!K15</f>
        <v>1</v>
      </c>
      <c r="I15" s="4"/>
    </row>
    <row r="16" spans="1:14" ht="53" customHeight="1">
      <c r="A16" s="93" t="s">
        <v>20</v>
      </c>
      <c r="B16" s="94"/>
      <c r="C16" s="95"/>
      <c r="D16" s="86"/>
      <c r="E16" s="86"/>
      <c r="F16" s="89"/>
      <c r="G16" s="90"/>
      <c r="H16" s="92"/>
      <c r="I16" s="4"/>
    </row>
    <row r="17" spans="1:9" ht="28" customHeight="1">
      <c r="A17" s="96" t="s">
        <v>21</v>
      </c>
      <c r="B17" s="97"/>
      <c r="C17" s="98"/>
      <c r="D17" s="99" t="s">
        <v>22</v>
      </c>
      <c r="E17" s="100"/>
      <c r="F17" s="101"/>
      <c r="G17" s="102"/>
      <c r="H17" s="12">
        <f>H15</f>
        <v>1</v>
      </c>
      <c r="I17" s="2"/>
    </row>
    <row r="18" spans="1:9" ht="142.5" customHeight="1">
      <c r="A18" s="73" t="s">
        <v>23</v>
      </c>
      <c r="B18" s="74"/>
      <c r="C18" s="75"/>
      <c r="D18" s="76" t="s">
        <v>24</v>
      </c>
      <c r="E18" s="77"/>
      <c r="F18" s="77"/>
      <c r="G18" s="77"/>
      <c r="H18" s="78"/>
      <c r="I18" s="7"/>
    </row>
  </sheetData>
  <mergeCells count="31">
    <mergeCell ref="A1:I1"/>
    <mergeCell ref="A2:A3"/>
    <mergeCell ref="B2:C3"/>
    <mergeCell ref="E2:H2"/>
    <mergeCell ref="A4:C5"/>
    <mergeCell ref="D4:F7"/>
    <mergeCell ref="G4:H7"/>
    <mergeCell ref="F14:G14"/>
    <mergeCell ref="B8:C8"/>
    <mergeCell ref="D8:F9"/>
    <mergeCell ref="G8:H9"/>
    <mergeCell ref="A9:C9"/>
    <mergeCell ref="A10:C10"/>
    <mergeCell ref="D10:F10"/>
    <mergeCell ref="G10:H10"/>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70" zoomScaleNormal="70" workbookViewId="0">
      <selection activeCell="D11" sqref="D11:H13"/>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menifest'!$D$16</f>
        <v>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Mode'!B3</f>
        <v>Bongshal, Dhaka</v>
      </c>
      <c r="B4" s="127"/>
      <c r="C4" s="128"/>
      <c r="D4" s="142" t="s">
        <v>3</v>
      </c>
      <c r="E4" s="143"/>
      <c r="F4" s="143"/>
      <c r="G4" s="148">
        <f>'Full menifest'!$C$16</f>
        <v>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menifest'!$E$16</f>
        <v>2</v>
      </c>
      <c r="C8" s="121"/>
      <c r="D8" s="86" t="s">
        <v>5</v>
      </c>
      <c r="E8" s="86"/>
      <c r="F8" s="86"/>
      <c r="G8" s="122" t="s">
        <v>6</v>
      </c>
      <c r="H8" s="123"/>
      <c r="I8" s="2"/>
    </row>
    <row r="9" spans="1:14" ht="23.5" customHeight="1">
      <c r="A9" s="126" t="str">
        <f>'Address Mode'!C3</f>
        <v>Salt Lake,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menifest'!$H$16</f>
        <v>2</v>
      </c>
      <c r="B15" s="84"/>
      <c r="C15" s="85"/>
      <c r="D15" s="86" t="s">
        <v>19</v>
      </c>
      <c r="E15" s="86"/>
      <c r="F15" s="87">
        <f>'Full menifest'!I16</f>
        <v>2</v>
      </c>
      <c r="G15" s="88"/>
      <c r="H15" s="91">
        <f>'Full menifest'!K16</f>
        <v>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topLeftCell="A11"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menifest'!$D$17</f>
        <v>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Mode'!B4</f>
        <v>Bongshal, Dhaka</v>
      </c>
      <c r="B4" s="127"/>
      <c r="C4" s="128"/>
      <c r="D4" s="142" t="s">
        <v>3</v>
      </c>
      <c r="E4" s="143"/>
      <c r="F4" s="143"/>
      <c r="G4" s="148">
        <f>'Full menifest'!$C$17</f>
        <v>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menifest'!$E$17</f>
        <v>3</v>
      </c>
      <c r="C8" s="121"/>
      <c r="D8" s="86" t="s">
        <v>5</v>
      </c>
      <c r="E8" s="86"/>
      <c r="F8" s="86"/>
      <c r="G8" s="122" t="s">
        <v>6</v>
      </c>
      <c r="H8" s="123"/>
      <c r="I8" s="2"/>
    </row>
    <row r="9" spans="1:14" ht="23.5" customHeight="1">
      <c r="A9" s="126" t="str">
        <f>'Address Mode'!C4</f>
        <v>Salt Lake,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menifest'!$H$17</f>
        <v>3</v>
      </c>
      <c r="B15" s="84"/>
      <c r="C15" s="85"/>
      <c r="D15" s="86" t="s">
        <v>19</v>
      </c>
      <c r="E15" s="86"/>
      <c r="F15" s="87">
        <f>'Full menifest'!$I$17</f>
        <v>3</v>
      </c>
      <c r="G15" s="88"/>
      <c r="H15" s="91">
        <f>'Full menifest'!K17</f>
        <v>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menifest'!$D$18</f>
        <v>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Mode'!B5</f>
        <v>Hasnabad, Dhaka</v>
      </c>
      <c r="B4" s="127"/>
      <c r="C4" s="128"/>
      <c r="D4" s="142" t="s">
        <v>3</v>
      </c>
      <c r="E4" s="143"/>
      <c r="F4" s="143"/>
      <c r="G4" s="148">
        <f>'Full menifest'!$C$18</f>
        <v>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menifest'!$E$18</f>
        <v>4</v>
      </c>
      <c r="C8" s="121"/>
      <c r="D8" s="86" t="s">
        <v>5</v>
      </c>
      <c r="E8" s="86"/>
      <c r="F8" s="86"/>
      <c r="G8" s="122" t="s">
        <v>6</v>
      </c>
      <c r="H8" s="123"/>
      <c r="I8" s="2"/>
    </row>
    <row r="9" spans="1:14" ht="23.5" customHeight="1">
      <c r="A9" s="126" t="str">
        <f>'Address Mode'!C5</f>
        <v>Esplanade,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menifest'!$H$18</f>
        <v>4</v>
      </c>
      <c r="B15" s="84"/>
      <c r="C15" s="85"/>
      <c r="D15" s="86" t="s">
        <v>19</v>
      </c>
      <c r="E15" s="86"/>
      <c r="F15" s="87">
        <f>'Full menifest'!$I$18</f>
        <v>4</v>
      </c>
      <c r="G15" s="88"/>
      <c r="H15" s="91">
        <f>'Full menifest'!K18</f>
        <v>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menifest'!$D$19</f>
        <v>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Mode'!B6</f>
        <v>Hasnabad, Dhaka</v>
      </c>
      <c r="B4" s="127"/>
      <c r="C4" s="128"/>
      <c r="D4" s="142" t="s">
        <v>3</v>
      </c>
      <c r="E4" s="143"/>
      <c r="F4" s="143"/>
      <c r="G4" s="148">
        <f>'Full menifest'!$C$19</f>
        <v>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menifest'!$E$19</f>
        <v>5</v>
      </c>
      <c r="C8" s="121"/>
      <c r="D8" s="86" t="s">
        <v>5</v>
      </c>
      <c r="E8" s="86"/>
      <c r="F8" s="86"/>
      <c r="G8" s="122" t="s">
        <v>6</v>
      </c>
      <c r="H8" s="123"/>
      <c r="I8" s="2"/>
    </row>
    <row r="9" spans="1:14" ht="23.5" customHeight="1">
      <c r="A9" s="126" t="str">
        <f>'Address Mode'!C6</f>
        <v>Esplanade,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menifest'!$H$19</f>
        <v>5</v>
      </c>
      <c r="B15" s="84"/>
      <c r="C15" s="85"/>
      <c r="D15" s="86" t="s">
        <v>19</v>
      </c>
      <c r="E15" s="86"/>
      <c r="F15" s="87">
        <f>'Full menifest'!$I$19</f>
        <v>5</v>
      </c>
      <c r="G15" s="88"/>
      <c r="H15" s="91">
        <f>'Full menifest'!K19</f>
        <v>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menifest'!$D$20</f>
        <v>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Mode'!B7</f>
        <v>Hasnabad, Dhaka</v>
      </c>
      <c r="B4" s="127"/>
      <c r="C4" s="128"/>
      <c r="D4" s="142" t="s">
        <v>3</v>
      </c>
      <c r="E4" s="143"/>
      <c r="F4" s="143"/>
      <c r="G4" s="148">
        <f>'Full menifest'!$C$20</f>
        <v>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menifest'!$E$20</f>
        <v>6</v>
      </c>
      <c r="C8" s="121"/>
      <c r="D8" s="86" t="s">
        <v>5</v>
      </c>
      <c r="E8" s="86"/>
      <c r="F8" s="86"/>
      <c r="G8" s="122" t="s">
        <v>6</v>
      </c>
      <c r="H8" s="123"/>
      <c r="I8" s="2"/>
    </row>
    <row r="9" spans="1:14" ht="23.5" customHeight="1">
      <c r="A9" s="126" t="str">
        <f>'Address Mode'!C7</f>
        <v>Esplanade,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menifest'!$H$20</f>
        <v>6</v>
      </c>
      <c r="B15" s="84"/>
      <c r="C15" s="85"/>
      <c r="D15" s="86" t="s">
        <v>19</v>
      </c>
      <c r="E15" s="86"/>
      <c r="F15" s="87">
        <f>'Full menifest'!$I$20</f>
        <v>6</v>
      </c>
      <c r="G15" s="88"/>
      <c r="H15" s="91">
        <f>'Full menifest'!K20</f>
        <v>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menifest'!$D$21</f>
        <v>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Mode'!B8</f>
        <v>Sutrapur, Dhaka</v>
      </c>
      <c r="B4" s="127"/>
      <c r="C4" s="128"/>
      <c r="D4" s="142" t="s">
        <v>3</v>
      </c>
      <c r="E4" s="143"/>
      <c r="F4" s="143"/>
      <c r="G4" s="148">
        <f>'Full menifest'!$C$21</f>
        <v>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menifest'!$E$21</f>
        <v>7</v>
      </c>
      <c r="C8" s="121"/>
      <c r="D8" s="86" t="s">
        <v>5</v>
      </c>
      <c r="E8" s="86"/>
      <c r="F8" s="86"/>
      <c r="G8" s="122" t="s">
        <v>6</v>
      </c>
      <c r="H8" s="123"/>
      <c r="I8" s="2"/>
    </row>
    <row r="9" spans="1:14" ht="23.5" customHeight="1">
      <c r="A9" s="126" t="str">
        <f>'Address Mode'!C8</f>
        <v>Bellygunj,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menifest'!$H$21</f>
        <v>7</v>
      </c>
      <c r="B15" s="84"/>
      <c r="C15" s="85"/>
      <c r="D15" s="86" t="s">
        <v>19</v>
      </c>
      <c r="E15" s="86"/>
      <c r="F15" s="87">
        <f>'Full menifest'!I21</f>
        <v>7</v>
      </c>
      <c r="G15" s="88"/>
      <c r="H15" s="91">
        <f>'Full menifest'!K21</f>
        <v>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menifest'!$D$22</f>
        <v>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Mode'!B9</f>
        <v>Sutrapur, Dhaka</v>
      </c>
      <c r="B4" s="127"/>
      <c r="C4" s="128"/>
      <c r="D4" s="142" t="s">
        <v>3</v>
      </c>
      <c r="E4" s="143"/>
      <c r="F4" s="143"/>
      <c r="G4" s="148">
        <f>'Full menifest'!$C$22</f>
        <v>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menifest'!$E$22</f>
        <v>8</v>
      </c>
      <c r="C8" s="121"/>
      <c r="D8" s="86" t="s">
        <v>5</v>
      </c>
      <c r="E8" s="86"/>
      <c r="F8" s="86"/>
      <c r="G8" s="122" t="s">
        <v>6</v>
      </c>
      <c r="H8" s="123"/>
      <c r="I8" s="2"/>
    </row>
    <row r="9" spans="1:14" ht="23.5" customHeight="1">
      <c r="A9" s="126" t="str">
        <f>'Address Mode'!C9</f>
        <v>Bellygunj,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menifest'!$H$22</f>
        <v>8</v>
      </c>
      <c r="B15" s="84"/>
      <c r="C15" s="85"/>
      <c r="D15" s="86" t="s">
        <v>19</v>
      </c>
      <c r="E15" s="86"/>
      <c r="F15" s="87">
        <f>'Full menifest'!$I$22</f>
        <v>8</v>
      </c>
      <c r="G15" s="88"/>
      <c r="H15" s="91">
        <f>'Full menifest'!K22</f>
        <v>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menifest'!$D$23</f>
        <v>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Mode'!B10</f>
        <v>Sutrapur, Dhaka</v>
      </c>
      <c r="B4" s="127"/>
      <c r="C4" s="128"/>
      <c r="D4" s="142" t="s">
        <v>3</v>
      </c>
      <c r="E4" s="143"/>
      <c r="F4" s="143"/>
      <c r="G4" s="148">
        <f>'Full menifest'!$C$23</f>
        <v>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menifest'!$E$23</f>
        <v>9</v>
      </c>
      <c r="C8" s="121"/>
      <c r="D8" s="86" t="s">
        <v>5</v>
      </c>
      <c r="E8" s="86"/>
      <c r="F8" s="86"/>
      <c r="G8" s="122" t="s">
        <v>6</v>
      </c>
      <c r="H8" s="123"/>
      <c r="I8" s="2"/>
    </row>
    <row r="9" spans="1:14" ht="23.5" customHeight="1">
      <c r="A9" s="126" t="str">
        <f>'Address Mode'!C10</f>
        <v>Bellygunj,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menifest'!$H$23</f>
        <v>9</v>
      </c>
      <c r="B15" s="84"/>
      <c r="C15" s="85"/>
      <c r="D15" s="86" t="s">
        <v>19</v>
      </c>
      <c r="E15" s="86"/>
      <c r="F15" s="87">
        <f>'Full menifest'!$I$23</f>
        <v>9</v>
      </c>
      <c r="G15" s="88"/>
      <c r="H15" s="91">
        <f>'Full menifest'!K23</f>
        <v>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menifest'!$D$24</f>
        <v>10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Mode'!B11</f>
        <v>Gulshan, Dhaka</v>
      </c>
      <c r="B4" s="127"/>
      <c r="C4" s="128"/>
      <c r="D4" s="142" t="s">
        <v>3</v>
      </c>
      <c r="E4" s="143"/>
      <c r="F4" s="143"/>
      <c r="G4" s="148">
        <f>'Full menifest'!$C$24</f>
        <v>10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menifest'!$E$24</f>
        <v>10</v>
      </c>
      <c r="C8" s="121"/>
      <c r="D8" s="86" t="s">
        <v>5</v>
      </c>
      <c r="E8" s="86"/>
      <c r="F8" s="86"/>
      <c r="G8" s="122" t="s">
        <v>6</v>
      </c>
      <c r="H8" s="123"/>
      <c r="I8" s="2"/>
    </row>
    <row r="9" spans="1:14" ht="23.5" customHeight="1">
      <c r="A9" s="126" t="str">
        <f>'Address Mode'!C11</f>
        <v>M.G Road,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menifest'!$H$24</f>
        <v>10</v>
      </c>
      <c r="B15" s="84"/>
      <c r="C15" s="85"/>
      <c r="D15" s="86" t="s">
        <v>19</v>
      </c>
      <c r="E15" s="86"/>
      <c r="F15" s="87">
        <f>'Full menifest'!$I$24</f>
        <v>10</v>
      </c>
      <c r="G15" s="88"/>
      <c r="H15" s="91">
        <f>'Full menifest'!K24</f>
        <v>10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menifest'!$D$25</f>
        <v>11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Mode'!B12</f>
        <v>Gulshan, Dhaka</v>
      </c>
      <c r="B4" s="127"/>
      <c r="C4" s="128"/>
      <c r="D4" s="142" t="s">
        <v>3</v>
      </c>
      <c r="E4" s="143"/>
      <c r="F4" s="143"/>
      <c r="G4" s="148">
        <f>'Full menifest'!$C$25</f>
        <v>11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menifest'!$E$25</f>
        <v>11</v>
      </c>
      <c r="C8" s="121"/>
      <c r="D8" s="86" t="s">
        <v>5</v>
      </c>
      <c r="E8" s="86"/>
      <c r="F8" s="86"/>
      <c r="G8" s="122" t="s">
        <v>6</v>
      </c>
      <c r="H8" s="123"/>
      <c r="I8" s="2"/>
    </row>
    <row r="9" spans="1:14" ht="23.5" customHeight="1">
      <c r="A9" s="126" t="str">
        <f>'Address Mode'!C12</f>
        <v>M.G Road,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menifest'!$H$25</f>
        <v>11</v>
      </c>
      <c r="B15" s="84"/>
      <c r="C15" s="85"/>
      <c r="D15" s="86" t="s">
        <v>19</v>
      </c>
      <c r="E15" s="86"/>
      <c r="F15" s="87">
        <f>'Full menifest'!$I$25</f>
        <v>11</v>
      </c>
      <c r="G15" s="88"/>
      <c r="H15" s="91">
        <f>'Full menifest'!K25</f>
        <v>11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menifest'!$D$26</f>
        <v>12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Mode'!B13</f>
        <v>Gulshan, Dhaka</v>
      </c>
      <c r="B4" s="127"/>
      <c r="C4" s="128"/>
      <c r="D4" s="142" t="s">
        <v>3</v>
      </c>
      <c r="E4" s="143"/>
      <c r="F4" s="143"/>
      <c r="G4" s="148">
        <f>'Full menifest'!$C$26</f>
        <v>12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menifest'!$E$26</f>
        <v>12</v>
      </c>
      <c r="C8" s="121"/>
      <c r="D8" s="86" t="s">
        <v>5</v>
      </c>
      <c r="E8" s="86"/>
      <c r="F8" s="86"/>
      <c r="G8" s="122" t="s">
        <v>6</v>
      </c>
      <c r="H8" s="123"/>
      <c r="I8" s="2"/>
    </row>
    <row r="9" spans="1:14" ht="23.5" customHeight="1">
      <c r="A9" s="126" t="str">
        <f>'Address Mode'!C13</f>
        <v>M.G Road,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menifest'!$H$26</f>
        <v>12</v>
      </c>
      <c r="B15" s="84"/>
      <c r="C15" s="85"/>
      <c r="D15" s="86" t="s">
        <v>19</v>
      </c>
      <c r="E15" s="86"/>
      <c r="F15" s="87">
        <f>'Full menifest'!I26</f>
        <v>12</v>
      </c>
      <c r="G15" s="88"/>
      <c r="H15" s="91">
        <f>'Full menifest'!K26</f>
        <v>12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menifest'!$D$27</f>
        <v>13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Mode'!B14</f>
        <v>Patuatuli, Dhaka</v>
      </c>
      <c r="B4" s="127"/>
      <c r="C4" s="128"/>
      <c r="D4" s="142" t="s">
        <v>3</v>
      </c>
      <c r="E4" s="143"/>
      <c r="F4" s="143"/>
      <c r="G4" s="148">
        <f>'Full menifest'!$C$27</f>
        <v>13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menifest'!$E$27</f>
        <v>13</v>
      </c>
      <c r="C8" s="121"/>
      <c r="D8" s="86" t="s">
        <v>5</v>
      </c>
      <c r="E8" s="86"/>
      <c r="F8" s="86"/>
      <c r="G8" s="122" t="s">
        <v>6</v>
      </c>
      <c r="H8" s="123"/>
      <c r="I8" s="2"/>
    </row>
    <row r="9" spans="1:14" ht="23.5" customHeight="1">
      <c r="A9" s="126" t="str">
        <f>'Address Mode'!C14</f>
        <v>New Alipore,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menifest'!$H$27</f>
        <v>13</v>
      </c>
      <c r="B15" s="84"/>
      <c r="C15" s="85"/>
      <c r="D15" s="86" t="s">
        <v>19</v>
      </c>
      <c r="E15" s="86"/>
      <c r="F15" s="87">
        <f>'Full menifest'!$I$27</f>
        <v>13</v>
      </c>
      <c r="G15" s="88"/>
      <c r="H15" s="91">
        <f>'Full menifest'!K27</f>
        <v>13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menifest'!$D$28</f>
        <v>14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Mode'!B15</f>
        <v>Patuatuli, Dhaka</v>
      </c>
      <c r="B4" s="127"/>
      <c r="C4" s="128"/>
      <c r="D4" s="142" t="s">
        <v>3</v>
      </c>
      <c r="E4" s="143"/>
      <c r="F4" s="143"/>
      <c r="G4" s="148">
        <f>'Full menifest'!$C$28</f>
        <v>14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menifest'!$E$28</f>
        <v>14</v>
      </c>
      <c r="C8" s="121"/>
      <c r="D8" s="86" t="s">
        <v>5</v>
      </c>
      <c r="E8" s="86"/>
      <c r="F8" s="86"/>
      <c r="G8" s="122" t="s">
        <v>6</v>
      </c>
      <c r="H8" s="123"/>
      <c r="I8" s="2"/>
    </row>
    <row r="9" spans="1:14" ht="23.5" customHeight="1">
      <c r="A9" s="126" t="str">
        <f>'Address Mode'!C15</f>
        <v>New Alipore,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menifest'!$H$28</f>
        <v>14</v>
      </c>
      <c r="B15" s="84"/>
      <c r="C15" s="85"/>
      <c r="D15" s="86" t="s">
        <v>19</v>
      </c>
      <c r="E15" s="86"/>
      <c r="F15" s="87">
        <f>'Full menifest'!$I$28</f>
        <v>14</v>
      </c>
      <c r="G15" s="88"/>
      <c r="H15" s="91">
        <f>'Full menifest'!K28</f>
        <v>14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menifest'!$D$29</f>
        <v>15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Mode'!B16</f>
        <v>Patuatuli, Dhaka</v>
      </c>
      <c r="B4" s="127"/>
      <c r="C4" s="128"/>
      <c r="D4" s="142" t="s">
        <v>3</v>
      </c>
      <c r="E4" s="143"/>
      <c r="F4" s="143"/>
      <c r="G4" s="148">
        <f>'Full menifest'!$C$29</f>
        <v>15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menifest'!$E$29</f>
        <v>15</v>
      </c>
      <c r="C8" s="121"/>
      <c r="D8" s="86" t="s">
        <v>5</v>
      </c>
      <c r="E8" s="86"/>
      <c r="F8" s="86"/>
      <c r="G8" s="122" t="s">
        <v>6</v>
      </c>
      <c r="H8" s="123"/>
      <c r="I8" s="2"/>
    </row>
    <row r="9" spans="1:14" ht="23.5" customHeight="1">
      <c r="A9" s="126" t="str">
        <f>'Address Mode'!C16</f>
        <v>New Alipore,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menifest'!$H$29</f>
        <v>15</v>
      </c>
      <c r="B15" s="84"/>
      <c r="C15" s="85"/>
      <c r="D15" s="86" t="s">
        <v>19</v>
      </c>
      <c r="E15" s="86"/>
      <c r="F15" s="87">
        <f>'Full menifest'!$I$29</f>
        <v>15</v>
      </c>
      <c r="G15" s="88"/>
      <c r="H15" s="91">
        <f>'Full menifest'!K29</f>
        <v>15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menifest'!$D$30</f>
        <v>16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Mode'!B17</f>
        <v>Tikatuli, Dhaka</v>
      </c>
      <c r="B4" s="127"/>
      <c r="C4" s="128"/>
      <c r="D4" s="142" t="s">
        <v>3</v>
      </c>
      <c r="E4" s="143"/>
      <c r="F4" s="143"/>
      <c r="G4" s="148">
        <f>'Full menifest'!$C$30</f>
        <v>16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menifest'!$E$30</f>
        <v>16</v>
      </c>
      <c r="C8" s="121"/>
      <c r="D8" s="86" t="s">
        <v>5</v>
      </c>
      <c r="E8" s="86"/>
      <c r="F8" s="86"/>
      <c r="G8" s="122" t="s">
        <v>6</v>
      </c>
      <c r="H8" s="123"/>
      <c r="I8" s="2"/>
    </row>
    <row r="9" spans="1:14" ht="23.5" customHeight="1">
      <c r="A9" s="126" t="str">
        <f>'Address Mode'!C17</f>
        <v>Mirza Ghalib Steet,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menifest'!$H$30</f>
        <v>16</v>
      </c>
      <c r="B15" s="84"/>
      <c r="C15" s="85"/>
      <c r="D15" s="86" t="s">
        <v>19</v>
      </c>
      <c r="E15" s="86"/>
      <c r="F15" s="87">
        <f>'Full menifest'!$I$30</f>
        <v>16</v>
      </c>
      <c r="G15" s="88"/>
      <c r="H15" s="91">
        <f>'Full menifest'!K30</f>
        <v>16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menifest'!$D$31</f>
        <v>17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Mode'!B18</f>
        <v>Tikatuli, Dhaka</v>
      </c>
      <c r="B4" s="127"/>
      <c r="C4" s="128"/>
      <c r="D4" s="142" t="s">
        <v>3</v>
      </c>
      <c r="E4" s="143"/>
      <c r="F4" s="143"/>
      <c r="G4" s="148">
        <f>'Full menifest'!$C$31</f>
        <v>17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menifest'!$E$31</f>
        <v>17</v>
      </c>
      <c r="C8" s="121"/>
      <c r="D8" s="86" t="s">
        <v>5</v>
      </c>
      <c r="E8" s="86"/>
      <c r="F8" s="86"/>
      <c r="G8" s="122" t="s">
        <v>6</v>
      </c>
      <c r="H8" s="123"/>
      <c r="I8" s="2"/>
    </row>
    <row r="9" spans="1:14" ht="23.5" customHeight="1">
      <c r="A9" s="126" t="str">
        <f>'Address Mode'!C18</f>
        <v>Mirza Ghalib Steet,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menifest'!$H$31</f>
        <v>17</v>
      </c>
      <c r="B15" s="84"/>
      <c r="C15" s="85"/>
      <c r="D15" s="86" t="s">
        <v>19</v>
      </c>
      <c r="E15" s="86"/>
      <c r="F15" s="87">
        <f>'Full menifest'!I31</f>
        <v>17</v>
      </c>
      <c r="G15" s="88"/>
      <c r="H15" s="91">
        <f>'Full menifest'!K31</f>
        <v>17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menifest'!$D$32</f>
        <v>18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Mode'!B19</f>
        <v>Tikatuli, Dhaka</v>
      </c>
      <c r="B4" s="127"/>
      <c r="C4" s="128"/>
      <c r="D4" s="142" t="s">
        <v>3</v>
      </c>
      <c r="E4" s="143"/>
      <c r="F4" s="143"/>
      <c r="G4" s="148">
        <f>'Full menifest'!$C$32</f>
        <v>18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menifest'!$E$32</f>
        <v>18</v>
      </c>
      <c r="C8" s="121"/>
      <c r="D8" s="86" t="s">
        <v>5</v>
      </c>
      <c r="E8" s="86"/>
      <c r="F8" s="86"/>
      <c r="G8" s="122" t="s">
        <v>6</v>
      </c>
      <c r="H8" s="123"/>
      <c r="I8" s="2"/>
    </row>
    <row r="9" spans="1:14" ht="23.5" customHeight="1">
      <c r="A9" s="126" t="str">
        <f>'Address Mode'!C19</f>
        <v>Mirza Ghalib Steet,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menifest'!$H$32</f>
        <v>18</v>
      </c>
      <c r="B15" s="84"/>
      <c r="C15" s="85"/>
      <c r="D15" s="86" t="s">
        <v>19</v>
      </c>
      <c r="E15" s="86"/>
      <c r="F15" s="87">
        <f>'Full menifest'!$I$32</f>
        <v>18</v>
      </c>
      <c r="G15" s="88"/>
      <c r="H15" s="91">
        <f>'Full menifest'!K32</f>
        <v>18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menifest'!$D$33</f>
        <v>19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Mode'!B20</f>
        <v>Azimpur, Dhaka</v>
      </c>
      <c r="B4" s="127"/>
      <c r="C4" s="128"/>
      <c r="D4" s="142" t="s">
        <v>3</v>
      </c>
      <c r="E4" s="143"/>
      <c r="F4" s="143"/>
      <c r="G4" s="148">
        <f>'Full menifest'!$C$33</f>
        <v>19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menifest'!$E$33</f>
        <v>19</v>
      </c>
      <c r="C8" s="121"/>
      <c r="D8" s="86" t="s">
        <v>5</v>
      </c>
      <c r="E8" s="86"/>
      <c r="F8" s="86"/>
      <c r="G8" s="122" t="s">
        <v>6</v>
      </c>
      <c r="H8" s="123"/>
      <c r="I8" s="2"/>
    </row>
    <row r="9" spans="1:14" ht="23.5" customHeight="1">
      <c r="A9" s="126" t="str">
        <f>'Address Mode'!C20</f>
        <v>Canning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menifest'!$H$33</f>
        <v>19</v>
      </c>
      <c r="B15" s="84"/>
      <c r="C15" s="85"/>
      <c r="D15" s="86" t="s">
        <v>19</v>
      </c>
      <c r="E15" s="86"/>
      <c r="F15" s="87">
        <f>'Full menifest'!$I$33</f>
        <v>19</v>
      </c>
      <c r="G15" s="88"/>
      <c r="H15" s="91">
        <f>'Full menifest'!K33</f>
        <v>19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menifest'!$D$34</f>
        <v>20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Mode'!B21</f>
        <v>Azimpur, Dhaka</v>
      </c>
      <c r="B4" s="127"/>
      <c r="C4" s="128"/>
      <c r="D4" s="142" t="s">
        <v>3</v>
      </c>
      <c r="E4" s="143"/>
      <c r="F4" s="143"/>
      <c r="G4" s="148">
        <f>'Full menifest'!$C$34</f>
        <v>20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menifest'!$E$34</f>
        <v>20</v>
      </c>
      <c r="C8" s="121"/>
      <c r="D8" s="86" t="s">
        <v>5</v>
      </c>
      <c r="E8" s="86"/>
      <c r="F8" s="86"/>
      <c r="G8" s="122" t="s">
        <v>6</v>
      </c>
      <c r="H8" s="123"/>
      <c r="I8" s="2"/>
    </row>
    <row r="9" spans="1:14" ht="23.5" customHeight="1">
      <c r="A9" s="126" t="str">
        <f>'Address Mode'!C21</f>
        <v>Canning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menifest'!$H$34</f>
        <v>20</v>
      </c>
      <c r="B15" s="84"/>
      <c r="C15" s="85"/>
      <c r="D15" s="86" t="s">
        <v>19</v>
      </c>
      <c r="E15" s="86"/>
      <c r="F15" s="87">
        <f>'Full menifest'!$I$34</f>
        <v>20</v>
      </c>
      <c r="G15" s="88"/>
      <c r="H15" s="91">
        <f>'Full menifest'!K34</f>
        <v>20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menifest'!$D$35</f>
        <v>21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Mode'!B22</f>
        <v>Azimpur, Dhaka</v>
      </c>
      <c r="B4" s="127"/>
      <c r="C4" s="128"/>
      <c r="D4" s="142" t="s">
        <v>3</v>
      </c>
      <c r="E4" s="143"/>
      <c r="F4" s="143"/>
      <c r="G4" s="148">
        <f>'Full menifest'!$C$35</f>
        <v>21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menifest'!$E$35</f>
        <v>21</v>
      </c>
      <c r="C8" s="121"/>
      <c r="D8" s="86" t="s">
        <v>5</v>
      </c>
      <c r="E8" s="86"/>
      <c r="F8" s="86"/>
      <c r="G8" s="122" t="s">
        <v>6</v>
      </c>
      <c r="H8" s="123"/>
      <c r="I8" s="2"/>
    </row>
    <row r="9" spans="1:14" ht="23.5" customHeight="1">
      <c r="A9" s="126" t="str">
        <f>'Address Mode'!C22</f>
        <v>Canning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menifest'!$H$35</f>
        <v>21</v>
      </c>
      <c r="B15" s="84"/>
      <c r="C15" s="85"/>
      <c r="D15" s="86" t="s">
        <v>19</v>
      </c>
      <c r="E15" s="86"/>
      <c r="F15" s="87">
        <f>'Full menifest'!$I$35</f>
        <v>21</v>
      </c>
      <c r="G15" s="88"/>
      <c r="H15" s="91">
        <f>'Full menifest'!K35</f>
        <v>21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menifest'!$D$36</f>
        <v>22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Mode'!B23</f>
        <v>Ramna, Dhaka</v>
      </c>
      <c r="B4" s="127"/>
      <c r="C4" s="128"/>
      <c r="D4" s="142" t="s">
        <v>3</v>
      </c>
      <c r="E4" s="143"/>
      <c r="F4" s="143"/>
      <c r="G4" s="148">
        <f>'Full menifest'!$C$36</f>
        <v>22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menifest'!$E$36</f>
        <v>22</v>
      </c>
      <c r="C8" s="121"/>
      <c r="D8" s="86" t="s">
        <v>5</v>
      </c>
      <c r="E8" s="86"/>
      <c r="F8" s="86"/>
      <c r="G8" s="122" t="s">
        <v>6</v>
      </c>
      <c r="H8" s="123"/>
      <c r="I8" s="2"/>
    </row>
    <row r="9" spans="1:14" ht="23.5" customHeight="1">
      <c r="A9" s="126" t="str">
        <f>'Address Mode'!C23</f>
        <v>Razar Bazar,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menifest'!$H$36</f>
        <v>22</v>
      </c>
      <c r="B15" s="84"/>
      <c r="C15" s="85"/>
      <c r="D15" s="86" t="s">
        <v>19</v>
      </c>
      <c r="E15" s="86"/>
      <c r="F15" s="87">
        <f>'Full menifest'!$I$36</f>
        <v>22</v>
      </c>
      <c r="G15" s="88"/>
      <c r="H15" s="91">
        <f>'Full menifest'!K36</f>
        <v>22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menifest'!$D$37</f>
        <v>23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Mode'!B24</f>
        <v>Ramna, Dhaka</v>
      </c>
      <c r="B4" s="127"/>
      <c r="C4" s="128"/>
      <c r="D4" s="142" t="s">
        <v>3</v>
      </c>
      <c r="E4" s="143"/>
      <c r="F4" s="143"/>
      <c r="G4" s="148">
        <f>'Full menifest'!$C$37</f>
        <v>23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menifest'!$E$37</f>
        <v>23</v>
      </c>
      <c r="C8" s="121"/>
      <c r="D8" s="86" t="s">
        <v>5</v>
      </c>
      <c r="E8" s="86"/>
      <c r="F8" s="86"/>
      <c r="G8" s="122" t="s">
        <v>6</v>
      </c>
      <c r="H8" s="123"/>
      <c r="I8" s="2"/>
    </row>
    <row r="9" spans="1:14" ht="23.5" customHeight="1">
      <c r="A9" s="126" t="str">
        <f>'Address Mode'!C24</f>
        <v>Razar Bazar,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menifest'!$H$37</f>
        <v>23</v>
      </c>
      <c r="B15" s="84"/>
      <c r="C15" s="85"/>
      <c r="D15" s="86" t="s">
        <v>19</v>
      </c>
      <c r="E15" s="86"/>
      <c r="F15" s="87">
        <f>'Full menifest'!$I$37</f>
        <v>23</v>
      </c>
      <c r="G15" s="88"/>
      <c r="H15" s="91">
        <f>'Full menifest'!K37</f>
        <v>23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menifest'!$D$38</f>
        <v>24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Mode'!B25</f>
        <v>Ramna, Dhaka</v>
      </c>
      <c r="B4" s="127"/>
      <c r="C4" s="128"/>
      <c r="D4" s="142" t="s">
        <v>3</v>
      </c>
      <c r="E4" s="143"/>
      <c r="F4" s="143"/>
      <c r="G4" s="148">
        <f>'Full menifest'!$C$38</f>
        <v>24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menifest'!$E$38</f>
        <v>24</v>
      </c>
      <c r="C8" s="121"/>
      <c r="D8" s="86" t="s">
        <v>5</v>
      </c>
      <c r="E8" s="86"/>
      <c r="F8" s="86"/>
      <c r="G8" s="122" t="s">
        <v>6</v>
      </c>
      <c r="H8" s="123"/>
      <c r="I8" s="2"/>
    </row>
    <row r="9" spans="1:14" ht="23.5" customHeight="1">
      <c r="A9" s="126" t="str">
        <f>'Address Mode'!C25</f>
        <v>Razar Bazar,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menifest'!$H$38</f>
        <v>24</v>
      </c>
      <c r="B15" s="84"/>
      <c r="C15" s="85"/>
      <c r="D15" s="86" t="s">
        <v>19</v>
      </c>
      <c r="E15" s="86"/>
      <c r="F15" s="87">
        <f>'Full menifest'!$I$38</f>
        <v>24</v>
      </c>
      <c r="G15" s="88"/>
      <c r="H15" s="91">
        <f>'Full menifest'!K38</f>
        <v>24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menifest'!$D$39</f>
        <v>25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Mode'!B26</f>
        <v>Satrowza, Dhaka</v>
      </c>
      <c r="B4" s="127"/>
      <c r="C4" s="128"/>
      <c r="D4" s="142" t="s">
        <v>3</v>
      </c>
      <c r="E4" s="143"/>
      <c r="F4" s="143"/>
      <c r="G4" s="148">
        <f>'Full menifest'!$C$39</f>
        <v>25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menifest'!$E$39</f>
        <v>25</v>
      </c>
      <c r="C8" s="121"/>
      <c r="D8" s="86" t="s">
        <v>5</v>
      </c>
      <c r="E8" s="86"/>
      <c r="F8" s="86"/>
      <c r="G8" s="122" t="s">
        <v>6</v>
      </c>
      <c r="H8" s="123"/>
      <c r="I8" s="2"/>
    </row>
    <row r="9" spans="1:14" ht="23.5" customHeight="1">
      <c r="A9" s="126" t="str">
        <f>'Address Mode'!C26</f>
        <v>Rabindra Sarani,Kolkata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menifest'!$H$39</f>
        <v>25</v>
      </c>
      <c r="B15" s="84"/>
      <c r="C15" s="85"/>
      <c r="D15" s="86" t="s">
        <v>19</v>
      </c>
      <c r="E15" s="86"/>
      <c r="F15" s="87">
        <f>'Full menifest'!$I$39</f>
        <v>25</v>
      </c>
      <c r="G15" s="88"/>
      <c r="H15" s="91">
        <f>'Full menifest'!K39</f>
        <v>25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2024-06-05T10:17:04Z</dcterms:modified>
</cp:coreProperties>
</file>