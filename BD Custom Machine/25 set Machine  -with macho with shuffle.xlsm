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Mashines_githubFile\June New BSF MACHINE- - Updating\BD Custom Machine\"/>
    </mc:Choice>
  </mc:AlternateContent>
  <bookViews>
    <workbookView xWindow="0" yWindow="0" windowWidth="19200" windowHeight="6950" tabRatio="947" firstSheet="15" activeTab="26"/>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30" l="1"/>
  <c r="A9" i="29"/>
  <c r="A9" i="28"/>
  <c r="A9" i="27"/>
  <c r="A9" i="26"/>
  <c r="A9" i="25"/>
  <c r="A9" i="24"/>
  <c r="A9" i="23"/>
  <c r="A9" i="22"/>
  <c r="A9" i="21"/>
  <c r="A9" i="20"/>
  <c r="A9" i="19"/>
  <c r="A9" i="18"/>
  <c r="A9" i="17"/>
  <c r="A9" i="15"/>
  <c r="A9" i="14"/>
  <c r="A9" i="13"/>
  <c r="A9" i="12"/>
  <c r="A9" i="11"/>
  <c r="A9" i="10"/>
  <c r="A9" i="9"/>
  <c r="A9" i="8"/>
  <c r="A9" i="7"/>
  <c r="A4" i="30"/>
  <c r="A4" i="29"/>
  <c r="A4" i="28"/>
  <c r="A4" i="27"/>
  <c r="A4" i="26"/>
  <c r="A4" i="25"/>
  <c r="A4" i="24"/>
  <c r="A4" i="23"/>
  <c r="A4" i="22"/>
  <c r="A4" i="21"/>
  <c r="A4" i="20"/>
  <c r="A4" i="19"/>
  <c r="A4" i="18"/>
  <c r="A4" i="17"/>
  <c r="A4" i="15"/>
  <c r="A4" i="14"/>
  <c r="A4" i="13"/>
  <c r="A4" i="12"/>
  <c r="A4" i="11"/>
  <c r="A4" i="1"/>
  <c r="A4" i="10"/>
  <c r="A4" i="9"/>
  <c r="A4" i="8"/>
  <c r="A4" i="7"/>
  <c r="B2" i="26" l="1"/>
  <c r="H15" i="30"/>
  <c r="H15" i="29"/>
  <c r="H15" i="28"/>
  <c r="H15" i="27"/>
  <c r="H15" i="26"/>
  <c r="H15" i="25"/>
  <c r="H15" i="24"/>
  <c r="H15" i="23"/>
  <c r="H15" i="22"/>
  <c r="H15" i="21"/>
  <c r="H15" i="20"/>
  <c r="H15" i="19"/>
  <c r="H15" i="18"/>
  <c r="H15" i="17"/>
  <c r="H15" i="15"/>
  <c r="H15" i="14"/>
  <c r="H15" i="13"/>
  <c r="H15" i="12"/>
  <c r="H15" i="11"/>
  <c r="H15" i="10"/>
  <c r="H15" i="9"/>
  <c r="H15" i="8"/>
  <c r="H17" i="8" s="1"/>
  <c r="H15" i="7"/>
  <c r="H15" i="6"/>
  <c r="H15" i="1"/>
  <c r="F15" i="22" l="1"/>
  <c r="F15" i="17"/>
  <c r="F15" i="11"/>
  <c r="F15" i="6"/>
  <c r="A9" i="6" l="1"/>
  <c r="A4" i="6"/>
  <c r="A9" i="1"/>
  <c r="I40" i="32" l="1"/>
  <c r="K40" i="32"/>
  <c r="A15" i="30"/>
  <c r="B8" i="30"/>
  <c r="B2" i="30"/>
  <c r="G4" i="30"/>
  <c r="F15" i="30"/>
  <c r="F15" i="29"/>
  <c r="A15" i="29"/>
  <c r="B8" i="29"/>
  <c r="B2" i="29"/>
  <c r="G4" i="29"/>
  <c r="A15" i="28"/>
  <c r="B8" i="28"/>
  <c r="B2" i="28"/>
  <c r="G4" i="28"/>
  <c r="F15" i="28"/>
  <c r="A15" i="27"/>
  <c r="B8" i="27"/>
  <c r="B2" i="27"/>
  <c r="G4" i="27"/>
  <c r="F15" i="27"/>
  <c r="A15" i="26"/>
  <c r="B8" i="26"/>
  <c r="G4" i="26"/>
  <c r="F15" i="26"/>
  <c r="H17" i="26" s="1"/>
  <c r="A15" i="25"/>
  <c r="B8" i="25"/>
  <c r="B2" i="25"/>
  <c r="G4" i="25"/>
  <c r="F15" i="25"/>
  <c r="H17" i="25" s="1"/>
  <c r="F15" i="24"/>
  <c r="A15" i="24"/>
  <c r="B8" i="24"/>
  <c r="B2" i="24"/>
  <c r="G4" i="24"/>
  <c r="F15" i="23"/>
  <c r="H17" i="23" s="1"/>
  <c r="B8" i="23"/>
  <c r="A15" i="23"/>
  <c r="B2" i="23"/>
  <c r="G4" i="23"/>
  <c r="A15" i="22"/>
  <c r="B8" i="22"/>
  <c r="B2" i="22"/>
  <c r="G4" i="22"/>
  <c r="H17" i="22"/>
  <c r="F15" i="21"/>
  <c r="A15" i="21"/>
  <c r="B8" i="21"/>
  <c r="B2" i="21"/>
  <c r="H17" i="21"/>
  <c r="G4" i="21"/>
  <c r="F15" i="20"/>
  <c r="A15" i="20"/>
  <c r="B8" i="20"/>
  <c r="B2" i="20"/>
  <c r="G4" i="20"/>
  <c r="A15" i="19"/>
  <c r="B8" i="19"/>
  <c r="B2" i="19"/>
  <c r="G4" i="19"/>
  <c r="F15" i="19"/>
  <c r="H17" i="19" s="1"/>
  <c r="F15" i="18"/>
  <c r="H17" i="18" s="1"/>
  <c r="A15" i="18"/>
  <c r="B8" i="18"/>
  <c r="B2" i="18"/>
  <c r="G4" i="18"/>
  <c r="B2" i="17"/>
  <c r="H17" i="17"/>
  <c r="A15" i="17"/>
  <c r="G4" i="17"/>
  <c r="B8" i="17"/>
  <c r="A15" i="15"/>
  <c r="B8" i="15"/>
  <c r="B2" i="15"/>
  <c r="F15" i="15"/>
  <c r="H17" i="15" s="1"/>
  <c r="G4" i="15"/>
  <c r="B8" i="14"/>
  <c r="A15" i="14"/>
  <c r="B2" i="14"/>
  <c r="F15" i="14"/>
  <c r="H17" i="14" s="1"/>
  <c r="G4" i="14"/>
  <c r="A15" i="13"/>
  <c r="F15" i="13"/>
  <c r="H17" i="13" s="1"/>
  <c r="B8" i="13"/>
  <c r="B2" i="13"/>
  <c r="G4" i="13"/>
  <c r="A15" i="12"/>
  <c r="F15" i="12"/>
  <c r="B8" i="12"/>
  <c r="G4" i="12"/>
  <c r="B2" i="12"/>
  <c r="H17" i="11"/>
  <c r="A15" i="11"/>
  <c r="B8" i="11"/>
  <c r="B2" i="11"/>
  <c r="G4" i="11"/>
  <c r="A15" i="10"/>
  <c r="F15" i="10"/>
  <c r="H17" i="10" s="1"/>
  <c r="B8" i="10"/>
  <c r="B2" i="10"/>
  <c r="G4" i="10"/>
  <c r="A15" i="9"/>
  <c r="F15" i="9"/>
  <c r="H17" i="9" s="1"/>
  <c r="B8" i="9"/>
  <c r="B2" i="9"/>
  <c r="G4" i="9"/>
  <c r="F15" i="8"/>
  <c r="A15" i="8"/>
  <c r="B8" i="8"/>
  <c r="G4" i="8"/>
  <c r="B2" i="8"/>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A15" i="7"/>
  <c r="F15" i="7"/>
  <c r="H17" i="7" s="1"/>
  <c r="B8" i="7"/>
  <c r="B2" i="7"/>
  <c r="G4" i="7"/>
  <c r="H17" i="6"/>
  <c r="A15" i="6"/>
  <c r="B8" i="6"/>
  <c r="B2" i="6"/>
  <c r="G4" i="6"/>
  <c r="E2" i="6"/>
  <c r="E2" i="7"/>
  <c r="E2" i="1"/>
  <c r="F15" i="1"/>
  <c r="A15" i="1"/>
  <c r="B8" i="1"/>
  <c r="B2" i="1"/>
  <c r="G4" i="1"/>
  <c r="H17" i="1" l="1"/>
</calcChain>
</file>

<file path=xl/sharedStrings.xml><?xml version="1.0" encoding="utf-8"?>
<sst xmlns="http://schemas.openxmlformats.org/spreadsheetml/2006/main" count="862" uniqueCount="124">
  <si>
    <t>INVOICE/DECLARATION</t>
  </si>
  <si>
    <t xml:space="preserve"> Consignor:</t>
  </si>
  <si>
    <t>Date:</t>
  </si>
  <si>
    <t>Invoice No/AWB No -</t>
  </si>
  <si>
    <t xml:space="preserve"> Consignee:</t>
  </si>
  <si>
    <t>Country of Origin of Goods</t>
  </si>
  <si>
    <t>Country of Final Destination</t>
  </si>
  <si>
    <t>BANGLADESH</t>
  </si>
  <si>
    <t>INDIA</t>
  </si>
  <si>
    <r>
      <rPr>
        <b/>
        <sz val="10.5"/>
        <rFont val="MicrosoMicrosoft Sans Serif"/>
      </rPr>
      <t>Receipt By Pre-Carrier COURIER
M/s Modern International License No: 01/COURIER/CUS/WB/2005</t>
    </r>
  </si>
  <si>
    <t>FREE TRADE SAMPLE NO COMMERCIAL VALUE</t>
  </si>
  <si>
    <r>
      <rPr>
        <sz val="11"/>
        <rFont val="MicrosoMicrosoft Sans Serif"/>
      </rPr>
      <t>Vessel Flight NO:
BY ROAD</t>
    </r>
  </si>
  <si>
    <r>
      <rPr>
        <sz val="11"/>
        <rFont val="MicrosoMicrosoft Sans Serif"/>
      </rPr>
      <t>Place of Loading
DHAKA</t>
    </r>
  </si>
  <si>
    <r>
      <rPr>
        <sz val="11"/>
        <rFont val="MicrosoMicrosoft Sans Serif"/>
      </rPr>
      <t>Port of Discharge
BHORMRA</t>
    </r>
  </si>
  <si>
    <r>
      <rPr>
        <sz val="11"/>
        <rFont val="MicrosoMicrosoft Sans Serif"/>
      </rPr>
      <t>Final Discharge
KOLKATA</t>
    </r>
  </si>
  <si>
    <t>Marks &amp; Nos. Kind of Pkgs: Description of Goods</t>
  </si>
  <si>
    <t>Quantity</t>
  </si>
  <si>
    <t>Weight</t>
  </si>
  <si>
    <t>Amount $</t>
  </si>
  <si>
    <t>1 Pkt</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</si>
  <si>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</si>
  <si>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</si>
  <si>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</si>
  <si>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</si>
  <si>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</si>
  <si>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</si>
  <si>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</si>
  <si>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Pre-carriage By: COURIER Oriental Express
License No: 02/LC-CA/ COURIER/BHOMRA/2022</t>
  </si>
  <si>
    <t>ORIENTAL EXPRESS</t>
  </si>
  <si>
    <t xml:space="preserve">Reg. office: 48-50, Kaptan Bazar, Dhaka-1203, </t>
  </si>
  <si>
    <t>Govt. Authorized, Courier, License No; 00.008. 2014 Issued by The Ministry of Posts, Telecommunication and information Technology</t>
  </si>
  <si>
    <t>License No: 02/Lc-Ca/Courier/Bhomra/2022, Date; 02/01/2022, Issued by Commissioner, Customs, Excise &amp; VAT Commissionerate, Khulna</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</si>
  <si>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</si>
  <si>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</si>
  <si>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</si>
  <si>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</si>
  <si>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</si>
  <si>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</si>
  <si>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</si>
  <si>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</si>
  <si>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License No: 02/LC-CA/Courier/Bhomra/2022</t>
  </si>
  <si>
    <t xml:space="preserve">  </t>
  </si>
  <si>
    <t>Through: Ghojadanga land customs station.</t>
  </si>
  <si>
    <t>Serial No</t>
  </si>
  <si>
    <t>Way Bill No</t>
  </si>
  <si>
    <t>Shipper/Consignor</t>
  </si>
  <si>
    <t>Consignee</t>
  </si>
  <si>
    <t>Origin</t>
  </si>
  <si>
    <t>Destination</t>
  </si>
  <si>
    <t>Contains</t>
  </si>
  <si>
    <t>Weight(Kg)</t>
  </si>
  <si>
    <t>PKT</t>
  </si>
  <si>
    <t>Value($)</t>
  </si>
  <si>
    <t>Signature</t>
  </si>
  <si>
    <t>Signature of Customs Officer</t>
  </si>
  <si>
    <t xml:space="preserve">Inspector Customs Officer </t>
  </si>
  <si>
    <t xml:space="preserve">Superintendent Customs Officer </t>
  </si>
  <si>
    <t xml:space="preserve">Authorized Courier </t>
  </si>
  <si>
    <t xml:space="preserve">            Bhomra land Customs Station            </t>
  </si>
  <si>
    <t>Ghojadanga land Customs Station</t>
  </si>
  <si>
    <t>20t</t>
  </si>
  <si>
    <t>21u</t>
  </si>
  <si>
    <t>22v</t>
  </si>
  <si>
    <t>23w</t>
  </si>
  <si>
    <t>24x</t>
  </si>
  <si>
    <t>25y</t>
  </si>
  <si>
    <t>From</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</si>
  <si>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</si>
  <si>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</si>
  <si>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</si>
  <si>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</si>
  <si>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</si>
  <si>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</si>
  <si>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</si>
  <si>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</si>
  <si>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</si>
  <si>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</si>
  <si>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</si>
  <si>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</si>
  <si>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</si>
  <si>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</si>
  <si>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</si>
  <si>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</si>
  <si>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</si>
  <si>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</si>
  <si>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</si>
  <si>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</si>
  <si>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</si>
  <si>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</si>
  <si>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</si>
  <si>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</si>
  <si>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</si>
  <si>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</si>
  <si>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</si>
  <si>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</si>
  <si>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</si>
  <si>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</si>
  <si>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</si>
  <si>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</si>
  <si>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</si>
  <si>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</si>
  <si>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</si>
  <si>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</si>
  <si>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</si>
  <si>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</si>
  <si>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03.04.24</t>
  </si>
  <si>
    <t>Receipt By Pre-Carrier COURIER
M/s Modern International License No: 01/COURIER/CUS/WB/2005</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</si>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</sst>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6">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0"/>
      <name val="Arial"/>
      <family val="2"/>
    </font>
    <font>
      <sz val="10"/>
      <name val="Arial"/>
      <family val="2"/>
    </font>
    <font>
      <b/>
      <sz val="11"/>
      <name val="Calibri"/>
      <family val="2"/>
    </font>
    <font>
      <b/>
      <sz val="11"/>
      <color rgb="FFFF0000"/>
      <name val="Calibri"/>
      <family val="2"/>
    </font>
    <font>
      <b/>
      <sz val="14"/>
      <color rgb="FFFF0000"/>
      <name val="Times New Roman"/>
      <family val="1"/>
    </font>
    <font>
      <b/>
      <sz val="14"/>
      <color rgb="FF000000"/>
      <name val="Times New Roman"/>
      <family val="1"/>
    </font>
  </fonts>
  <fills count="3">
    <fill>
      <patternFill patternType="none"/>
    </fill>
    <fill>
      <patternFill patternType="gray125"/>
    </fill>
    <fill>
      <patternFill patternType="solid">
        <fgColor theme="0" tint="-0.249977111117893"/>
        <bgColor indexed="64"/>
      </patternFill>
    </fill>
  </fills>
  <borders count="4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54">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21" xfId="0" applyFont="1" applyBorder="1" applyAlignment="1">
      <alignment horizontal="center" vertical="top"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22" fillId="0" borderId="0" xfId="2" applyFont="1" applyAlignment="1">
      <alignment horizontal="center" vertical="center"/>
    </xf>
    <xf numFmtId="0" fontId="21" fillId="0" borderId="0" xfId="2" applyFont="1"/>
    <xf numFmtId="0" fontId="10" fillId="0" borderId="0" xfId="2" applyFont="1"/>
    <xf numFmtId="0" fontId="21" fillId="0" borderId="0" xfId="2" applyFont="1" applyAlignment="1">
      <alignment horizontal="center"/>
    </xf>
    <xf numFmtId="0" fontId="20" fillId="0" borderId="0" xfId="2" applyFont="1"/>
    <xf numFmtId="0" fontId="20" fillId="0" borderId="0" xfId="2" applyFont="1" applyAlignment="1">
      <alignment horizontal="center"/>
    </xf>
    <xf numFmtId="1" fontId="13" fillId="0" borderId="41" xfId="2" applyNumberFormat="1" applyFont="1" applyBorder="1" applyAlignment="1">
      <alignment horizontal="center"/>
    </xf>
    <xf numFmtId="0" fontId="13" fillId="0" borderId="41" xfId="2" applyFont="1" applyBorder="1" applyAlignment="1">
      <alignment horizontal="right"/>
    </xf>
    <xf numFmtId="2" fontId="13" fillId="0" borderId="41" xfId="2" applyNumberFormat="1" applyFont="1" applyBorder="1" applyAlignment="1">
      <alignment horizontal="center"/>
    </xf>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3" fillId="0" borderId="0" xfId="2" applyFont="1" applyBorder="1"/>
    <xf numFmtId="0" fontId="24"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2"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5"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7" fillId="0" borderId="21" xfId="0" applyFont="1" applyBorder="1" applyAlignment="1">
      <alignment horizontal="center" vertical="top" wrapText="1"/>
    </xf>
    <xf numFmtId="0" fontId="0" fillId="0" borderId="0" xfId="0" applyBorder="1"/>
    <xf numFmtId="0" fontId="0" fillId="0" borderId="0" xfId="0" applyBorder="1" applyAlignment="1">
      <alignment horizontal="center" vertical="center"/>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0" fontId="4" fillId="0" borderId="7" xfId="0" applyFont="1" applyBorder="1" applyAlignment="1">
      <alignment horizontal="center" vertical="center" wrapTex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3" fillId="0" borderId="0" xfId="0" applyFont="1" applyAlignment="1">
      <alignment horizontal="left"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1276350</xdr:colOff>
          <xdr:row>0</xdr:row>
          <xdr:rowOff>127000</xdr:rowOff>
        </xdr:from>
        <xdr:to>
          <xdr:col>5</xdr:col>
          <xdr:colOff>406400</xdr:colOff>
          <xdr:row>1</xdr:row>
          <xdr:rowOff>44450</xdr:rowOff>
        </xdr:to>
        <xdr:sp macro="" textlink="">
          <xdr:nvSpPr>
            <xdr:cNvPr id="1034" name="Shuffle"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40"/>
  <sheetViews>
    <sheetView zoomScale="70" zoomScaleNormal="70" workbookViewId="0">
      <selection activeCell="I13" sqref="I13"/>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s>
  <sheetData>
    <row r="1" spans="1:6" ht="26.5" customHeight="1">
      <c r="A1" s="62" t="s">
        <v>67</v>
      </c>
      <c r="B1" s="62" t="s">
        <v>66</v>
      </c>
      <c r="C1" s="62" t="s">
        <v>48</v>
      </c>
    </row>
    <row r="2" spans="1:6">
      <c r="A2" s="63">
        <v>1</v>
      </c>
      <c r="B2" s="61" t="s">
        <v>76</v>
      </c>
      <c r="C2" s="61" t="s">
        <v>93</v>
      </c>
      <c r="E2" s="61" t="s">
        <v>108</v>
      </c>
      <c r="F2" s="61" t="s">
        <v>117</v>
      </c>
    </row>
    <row r="3" spans="1:6">
      <c r="A3" s="63">
        <v>2</v>
      </c>
      <c r="B3" s="61" t="s">
        <v>109</v>
      </c>
      <c r="C3" s="61" t="s">
        <v>118</v>
      </c>
      <c r="E3" s="61" t="s">
        <v>81</v>
      </c>
      <c r="F3" s="61" t="s">
        <v>99</v>
      </c>
    </row>
    <row r="4" spans="1:6">
      <c r="A4" s="63">
        <v>3</v>
      </c>
      <c r="B4" s="61" t="s">
        <v>82</v>
      </c>
      <c r="C4" s="61" t="s">
        <v>89</v>
      </c>
      <c r="E4" s="61" t="s">
        <v>107</v>
      </c>
      <c r="F4" s="61" t="s">
        <v>116</v>
      </c>
    </row>
    <row r="5" spans="1:6">
      <c r="A5" s="63">
        <v>4</v>
      </c>
      <c r="B5" s="61" t="s">
        <v>114</v>
      </c>
      <c r="C5" s="61" t="s">
        <v>123</v>
      </c>
      <c r="E5" s="61" t="s">
        <v>79</v>
      </c>
      <c r="F5" s="61" t="s">
        <v>97</v>
      </c>
    </row>
    <row r="6" spans="1:6">
      <c r="A6" s="63">
        <v>5</v>
      </c>
      <c r="B6" s="61" t="s">
        <v>73</v>
      </c>
      <c r="C6" s="61" t="s">
        <v>90</v>
      </c>
      <c r="E6" s="61" t="s">
        <v>109</v>
      </c>
      <c r="F6" s="61" t="s">
        <v>118</v>
      </c>
    </row>
    <row r="7" spans="1:6">
      <c r="A7" s="63">
        <v>6</v>
      </c>
      <c r="B7" s="61" t="s">
        <v>72</v>
      </c>
      <c r="C7" t="s">
        <v>88</v>
      </c>
      <c r="E7" s="61" t="s">
        <v>84</v>
      </c>
      <c r="F7" t="s">
        <v>101</v>
      </c>
    </row>
    <row r="8" spans="1:6">
      <c r="A8" s="63">
        <v>7</v>
      </c>
      <c r="B8" s="61" t="s">
        <v>83</v>
      </c>
      <c r="C8" s="61" t="s">
        <v>100</v>
      </c>
      <c r="E8" s="61" t="s">
        <v>73</v>
      </c>
      <c r="F8" s="61" t="s">
        <v>90</v>
      </c>
    </row>
    <row r="9" spans="1:6">
      <c r="A9" s="63">
        <v>8</v>
      </c>
      <c r="B9" s="61" t="s">
        <v>110</v>
      </c>
      <c r="C9" s="61" t="s">
        <v>119</v>
      </c>
      <c r="E9" s="61" t="s">
        <v>82</v>
      </c>
      <c r="F9" s="61" t="s">
        <v>89</v>
      </c>
    </row>
    <row r="10" spans="1:6">
      <c r="A10" s="63">
        <v>9</v>
      </c>
      <c r="B10" s="61" t="s">
        <v>82</v>
      </c>
      <c r="C10" s="61" t="s">
        <v>85</v>
      </c>
      <c r="E10" s="61" t="s">
        <v>82</v>
      </c>
      <c r="F10" s="61" t="s">
        <v>103</v>
      </c>
    </row>
    <row r="11" spans="1:6">
      <c r="A11" s="63">
        <v>10</v>
      </c>
      <c r="B11" s="61" t="s">
        <v>71</v>
      </c>
      <c r="C11" s="61" t="s">
        <v>87</v>
      </c>
      <c r="E11" s="61" t="s">
        <v>69</v>
      </c>
      <c r="F11" s="61" t="s">
        <v>94</v>
      </c>
    </row>
    <row r="12" spans="1:6">
      <c r="A12" s="63">
        <v>11</v>
      </c>
      <c r="B12" s="61" t="s">
        <v>115</v>
      </c>
      <c r="C12" s="61" t="s">
        <v>123</v>
      </c>
      <c r="E12" s="61" t="s">
        <v>81</v>
      </c>
      <c r="F12" s="61" t="s">
        <v>102</v>
      </c>
    </row>
    <row r="13" spans="1:6">
      <c r="A13" s="63">
        <v>12</v>
      </c>
      <c r="B13" s="61" t="s">
        <v>113</v>
      </c>
      <c r="C13" s="61" t="s">
        <v>122</v>
      </c>
      <c r="E13" s="61" t="s">
        <v>70</v>
      </c>
      <c r="F13" s="61" t="s">
        <v>86</v>
      </c>
    </row>
    <row r="14" spans="1:6">
      <c r="A14" s="63">
        <v>13</v>
      </c>
      <c r="B14" s="61" t="s">
        <v>82</v>
      </c>
      <c r="C14" s="61" t="s">
        <v>103</v>
      </c>
      <c r="E14" s="61" t="s">
        <v>74</v>
      </c>
      <c r="F14" s="61" t="s">
        <v>91</v>
      </c>
    </row>
    <row r="15" spans="1:6">
      <c r="A15" s="63">
        <v>14</v>
      </c>
      <c r="B15" s="61" t="s">
        <v>112</v>
      </c>
      <c r="C15" s="61" t="s">
        <v>121</v>
      </c>
      <c r="E15" s="61" t="s">
        <v>82</v>
      </c>
      <c r="F15" s="61" t="s">
        <v>85</v>
      </c>
    </row>
    <row r="16" spans="1:6">
      <c r="A16" s="63">
        <v>15</v>
      </c>
      <c r="B16" s="61" t="s">
        <v>69</v>
      </c>
      <c r="C16" s="61" t="s">
        <v>94</v>
      </c>
      <c r="E16" s="61" t="s">
        <v>114</v>
      </c>
      <c r="F16" s="61" t="s">
        <v>123</v>
      </c>
    </row>
    <row r="17" spans="1:9">
      <c r="A17" s="63">
        <v>16</v>
      </c>
      <c r="B17" s="61" t="s">
        <v>79</v>
      </c>
      <c r="C17" s="61" t="s">
        <v>97</v>
      </c>
      <c r="E17" s="61" t="s">
        <v>111</v>
      </c>
      <c r="F17" s="61" t="s">
        <v>120</v>
      </c>
    </row>
    <row r="18" spans="1:9">
      <c r="A18" s="63">
        <v>17</v>
      </c>
      <c r="B18" s="61" t="s">
        <v>80</v>
      </c>
      <c r="C18" s="61" t="s">
        <v>98</v>
      </c>
      <c r="E18" s="61" t="s">
        <v>78</v>
      </c>
      <c r="F18" s="61" t="s">
        <v>96</v>
      </c>
    </row>
    <row r="19" spans="1:9">
      <c r="A19" s="63">
        <v>18</v>
      </c>
      <c r="B19" s="61" t="s">
        <v>77</v>
      </c>
      <c r="C19" s="61" t="s">
        <v>95</v>
      </c>
      <c r="E19" s="61" t="s">
        <v>80</v>
      </c>
      <c r="F19" s="61" t="s">
        <v>98</v>
      </c>
    </row>
    <row r="20" spans="1:9">
      <c r="A20" s="63">
        <v>19</v>
      </c>
      <c r="B20" s="61" t="s">
        <v>81</v>
      </c>
      <c r="C20" s="61" t="s">
        <v>102</v>
      </c>
      <c r="E20" s="61" t="s">
        <v>68</v>
      </c>
      <c r="F20" s="61" t="s">
        <v>85</v>
      </c>
    </row>
    <row r="21" spans="1:9">
      <c r="A21" s="63">
        <v>20</v>
      </c>
      <c r="B21" s="61" t="s">
        <v>68</v>
      </c>
      <c r="C21" s="61" t="s">
        <v>85</v>
      </c>
      <c r="E21" s="61" t="s">
        <v>110</v>
      </c>
      <c r="F21" s="61" t="s">
        <v>119</v>
      </c>
    </row>
    <row r="22" spans="1:9">
      <c r="A22" s="63">
        <v>21</v>
      </c>
      <c r="B22" s="61" t="s">
        <v>70</v>
      </c>
      <c r="C22" s="61" t="s">
        <v>86</v>
      </c>
      <c r="E22" s="61" t="s">
        <v>72</v>
      </c>
      <c r="F22" s="61" t="s">
        <v>88</v>
      </c>
    </row>
    <row r="23" spans="1:9">
      <c r="A23" s="63">
        <v>22</v>
      </c>
      <c r="B23" s="61" t="s">
        <v>81</v>
      </c>
      <c r="C23" s="61" t="s">
        <v>99</v>
      </c>
      <c r="E23" s="61" t="s">
        <v>76</v>
      </c>
      <c r="F23" s="61" t="s">
        <v>93</v>
      </c>
    </row>
    <row r="24" spans="1:9">
      <c r="A24" s="63">
        <v>23</v>
      </c>
      <c r="B24" s="61" t="s">
        <v>108</v>
      </c>
      <c r="C24" s="61" t="s">
        <v>117</v>
      </c>
      <c r="E24" s="61" t="s">
        <v>113</v>
      </c>
      <c r="F24" s="61" t="s">
        <v>122</v>
      </c>
    </row>
    <row r="25" spans="1:9">
      <c r="A25" s="63">
        <v>24</v>
      </c>
      <c r="B25" s="61" t="s">
        <v>78</v>
      </c>
      <c r="C25" s="61" t="s">
        <v>96</v>
      </c>
      <c r="E25" s="61" t="s">
        <v>71</v>
      </c>
      <c r="F25" s="61" t="s">
        <v>87</v>
      </c>
    </row>
    <row r="26" spans="1:9">
      <c r="A26" s="63">
        <v>25</v>
      </c>
      <c r="B26" s="61" t="s">
        <v>111</v>
      </c>
      <c r="C26" s="61" t="s">
        <v>120</v>
      </c>
      <c r="E26" s="61" t="s">
        <v>83</v>
      </c>
      <c r="F26" s="61" t="s">
        <v>100</v>
      </c>
    </row>
    <row r="27" spans="1:9">
      <c r="A27" s="63">
        <v>26</v>
      </c>
      <c r="B27" s="61" t="s">
        <v>84</v>
      </c>
      <c r="C27" s="61" t="s">
        <v>101</v>
      </c>
      <c r="E27" s="61" t="s">
        <v>112</v>
      </c>
      <c r="F27" s="61" t="s">
        <v>121</v>
      </c>
    </row>
    <row r="28" spans="1:9">
      <c r="A28" s="63">
        <v>27</v>
      </c>
      <c r="B28" s="61" t="s">
        <v>74</v>
      </c>
      <c r="C28" s="61" t="s">
        <v>91</v>
      </c>
      <c r="E28" s="61" t="s">
        <v>77</v>
      </c>
      <c r="F28" s="61" t="s">
        <v>95</v>
      </c>
      <c r="H28" s="67"/>
      <c r="I28" s="67"/>
    </row>
    <row r="29" spans="1:9">
      <c r="A29" s="63">
        <v>28</v>
      </c>
      <c r="B29" s="61" t="s">
        <v>75</v>
      </c>
      <c r="C29" s="61" t="s">
        <v>92</v>
      </c>
      <c r="E29" s="61" t="s">
        <v>75</v>
      </c>
      <c r="F29" s="61" t="s">
        <v>92</v>
      </c>
      <c r="H29" s="67"/>
      <c r="I29" s="67"/>
    </row>
    <row r="30" spans="1:9">
      <c r="A30" s="63">
        <v>29</v>
      </c>
      <c r="B30" s="61" t="s">
        <v>107</v>
      </c>
      <c r="C30" s="61" t="s">
        <v>116</v>
      </c>
      <c r="E30" s="61" t="s">
        <v>115</v>
      </c>
      <c r="F30" s="61" t="s">
        <v>123</v>
      </c>
      <c r="H30" s="67"/>
      <c r="I30" s="67"/>
    </row>
    <row r="31" spans="1:9">
      <c r="B31" s="61"/>
      <c r="C31" s="61"/>
      <c r="H31" s="68"/>
      <c r="I31" s="68"/>
    </row>
    <row r="32" spans="1:9">
      <c r="H32" s="67"/>
      <c r="I32" s="67"/>
    </row>
    <row r="33" spans="8:9">
      <c r="H33" s="68"/>
      <c r="I33" s="68"/>
    </row>
    <row r="34" spans="8:9">
      <c r="H34" s="67"/>
      <c r="I34" s="67"/>
    </row>
    <row r="35" spans="8:9">
      <c r="H35" s="68"/>
      <c r="I35" s="68"/>
    </row>
    <row r="36" spans="8:9">
      <c r="H36" s="67"/>
      <c r="I36" s="67"/>
    </row>
    <row r="37" spans="8:9">
      <c r="H37" s="68"/>
      <c r="I37" s="68"/>
    </row>
    <row r="38" spans="8:9">
      <c r="H38" s="67"/>
      <c r="I38" s="67"/>
    </row>
    <row r="39" spans="8:9">
      <c r="H39" s="67"/>
      <c r="I39" s="67"/>
    </row>
    <row r="40" spans="8:9">
      <c r="H40" s="67"/>
      <c r="I40" s="6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Shuffle">
              <controlPr defaultSize="0" print="0" autoFill="0" autoPict="0" macro="[0]!ShuffleRows">
                <anchor moveWithCells="1" sizeWithCells="1">
                  <from>
                    <xdr:col>4</xdr:col>
                    <xdr:colOff>1276350</xdr:colOff>
                    <xdr:row>0</xdr:row>
                    <xdr:rowOff>127000</xdr:rowOff>
                  </from>
                  <to>
                    <xdr:col>5</xdr:col>
                    <xdr:colOff>406400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O92"/>
  <sheetViews>
    <sheetView topLeftCell="A7" zoomScale="55" zoomScaleNormal="55" workbookViewId="0">
      <selection activeCell="H35" sqref="H35"/>
    </sheetView>
  </sheetViews>
  <sheetFormatPr defaultColWidth="15.796875" defaultRowHeight="15" customHeight="1"/>
  <cols>
    <col min="1" max="1" width="2.19921875" style="16" customWidth="1"/>
    <col min="2" max="2" width="12.69921875" style="16" customWidth="1"/>
    <col min="3" max="3" width="14.19921875" style="16" customWidth="1"/>
    <col min="4" max="5" width="28.19921875" style="16" customWidth="1"/>
    <col min="6" max="6" width="11.796875" style="16" customWidth="1"/>
    <col min="7" max="7" width="14.69921875" style="16" customWidth="1"/>
    <col min="8" max="8" width="31.296875" style="16" customWidth="1"/>
    <col min="9" max="9" width="13.296875" style="16" customWidth="1"/>
    <col min="10" max="10" width="11.8984375" style="16" customWidth="1"/>
    <col min="11" max="11" width="10.59765625" style="16" customWidth="1"/>
    <col min="12" max="14" width="15.796875" style="16"/>
    <col min="15" max="15" width="26.59765625" style="16" customWidth="1"/>
    <col min="16" max="16384" width="15.796875" style="16"/>
  </cols>
  <sheetData>
    <row r="1" spans="2:15" ht="43">
      <c r="B1" s="19"/>
      <c r="C1" s="19"/>
      <c r="D1" s="19"/>
      <c r="E1" s="19"/>
      <c r="F1" s="51" t="s">
        <v>28</v>
      </c>
      <c r="G1" s="19"/>
      <c r="H1" s="19"/>
      <c r="I1" s="19"/>
      <c r="J1" s="19"/>
      <c r="K1" s="19"/>
    </row>
    <row r="2" spans="2:15" ht="15.5">
      <c r="B2" s="19"/>
      <c r="C2" s="19"/>
      <c r="D2" s="19"/>
      <c r="E2" s="19"/>
      <c r="F2" s="50" t="s">
        <v>29</v>
      </c>
      <c r="G2" s="19"/>
      <c r="H2" s="19"/>
      <c r="I2" s="19"/>
      <c r="J2" s="19"/>
      <c r="K2" s="19"/>
    </row>
    <row r="3" spans="2:15" ht="15.5">
      <c r="B3" s="69" t="s">
        <v>30</v>
      </c>
      <c r="C3" s="70"/>
      <c r="D3" s="70"/>
      <c r="E3" s="70"/>
      <c r="F3" s="70"/>
      <c r="G3" s="70"/>
      <c r="H3" s="70"/>
      <c r="I3" s="70"/>
      <c r="J3" s="70"/>
      <c r="K3" s="70"/>
    </row>
    <row r="4" spans="2:15" ht="15.5">
      <c r="B4" s="69" t="s">
        <v>31</v>
      </c>
      <c r="C4" s="70"/>
      <c r="D4" s="70"/>
      <c r="E4" s="70"/>
      <c r="F4" s="70"/>
      <c r="G4" s="70"/>
      <c r="H4" s="70"/>
      <c r="I4" s="70"/>
      <c r="J4" s="70"/>
      <c r="K4" s="70"/>
    </row>
    <row r="5" spans="2:15" ht="15.5">
      <c r="B5" s="19"/>
      <c r="C5" s="19"/>
      <c r="D5" s="19"/>
      <c r="E5" s="19"/>
      <c r="F5" s="50" t="s">
        <v>32</v>
      </c>
      <c r="G5" s="19"/>
      <c r="H5" s="19"/>
      <c r="I5" s="19"/>
      <c r="J5" s="19"/>
      <c r="K5" s="19"/>
    </row>
    <row r="6" spans="2:15" thickBot="1">
      <c r="B6" s="19"/>
      <c r="C6" s="19"/>
      <c r="D6" s="19"/>
      <c r="E6" s="19"/>
      <c r="F6" s="19"/>
      <c r="G6" s="19"/>
      <c r="H6" s="19"/>
      <c r="I6" s="19"/>
      <c r="J6" s="19"/>
      <c r="K6" s="19"/>
    </row>
    <row r="7" spans="2:15" ht="20.5" thickBot="1">
      <c r="B7" s="41" t="s">
        <v>33</v>
      </c>
      <c r="C7" s="19"/>
      <c r="D7" s="19"/>
      <c r="E7" s="71" t="s">
        <v>34</v>
      </c>
      <c r="F7" s="72"/>
      <c r="G7" s="64" t="s">
        <v>104</v>
      </c>
      <c r="H7" s="65" t="s">
        <v>105</v>
      </c>
      <c r="I7" s="19"/>
      <c r="J7" s="19"/>
    </row>
    <row r="8" spans="2:15" thickBot="1">
      <c r="B8" s="19"/>
      <c r="C8" s="19"/>
      <c r="D8" s="19"/>
      <c r="E8" s="19"/>
      <c r="F8" s="19"/>
      <c r="G8" s="19"/>
      <c r="H8" s="19"/>
      <c r="I8" s="19"/>
      <c r="J8" s="19"/>
      <c r="K8" s="19"/>
    </row>
    <row r="9" spans="2:15" ht="22.5">
      <c r="B9" s="49" t="s">
        <v>35</v>
      </c>
      <c r="C9" s="48"/>
      <c r="D9" s="48"/>
      <c r="E9" s="49" t="s">
        <v>36</v>
      </c>
      <c r="F9" s="48"/>
      <c r="G9" s="47"/>
      <c r="H9" s="46"/>
      <c r="I9" s="45"/>
      <c r="J9" s="45"/>
      <c r="K9" s="44"/>
    </row>
    <row r="10" spans="2:15" ht="14.5">
      <c r="B10" s="42" t="s">
        <v>37</v>
      </c>
      <c r="C10" s="41"/>
      <c r="D10" s="41"/>
      <c r="E10" s="42" t="s">
        <v>38</v>
      </c>
      <c r="F10" s="41"/>
      <c r="G10" s="43"/>
      <c r="H10" s="38" t="s">
        <v>39</v>
      </c>
      <c r="I10" s="41"/>
      <c r="J10" s="41"/>
      <c r="K10" s="37"/>
    </row>
    <row r="11" spans="2:15" ht="14.5">
      <c r="B11" s="42" t="s">
        <v>40</v>
      </c>
      <c r="C11" s="41"/>
      <c r="D11" s="41"/>
      <c r="E11" s="40"/>
      <c r="F11" s="19"/>
      <c r="G11" s="39" t="s">
        <v>41</v>
      </c>
      <c r="H11" s="38" t="s">
        <v>42</v>
      </c>
      <c r="I11" s="19"/>
      <c r="J11" s="19"/>
      <c r="K11" s="37"/>
    </row>
    <row r="12" spans="2:15" thickBot="1">
      <c r="B12" s="36"/>
      <c r="C12" s="33"/>
      <c r="D12" s="33"/>
      <c r="E12" s="35"/>
      <c r="F12" s="32"/>
      <c r="G12" s="34"/>
      <c r="H12" s="33"/>
      <c r="I12" s="33"/>
      <c r="J12" s="32"/>
      <c r="K12" s="31"/>
      <c r="M12" s="27"/>
      <c r="N12" s="27"/>
      <c r="O12" s="27"/>
    </row>
    <row r="13" spans="2:15" ht="14.5">
      <c r="B13" s="19"/>
      <c r="C13" s="19"/>
      <c r="D13" s="19"/>
      <c r="E13" s="19"/>
      <c r="F13" s="19"/>
      <c r="G13" s="19"/>
      <c r="H13" s="19"/>
      <c r="I13" s="19"/>
      <c r="J13" s="19"/>
      <c r="K13" s="19"/>
      <c r="M13" s="27"/>
      <c r="N13" s="27"/>
      <c r="O13" s="27"/>
    </row>
    <row r="14" spans="2:15" ht="18">
      <c r="B14" s="29" t="s">
        <v>43</v>
      </c>
      <c r="C14" s="29" t="s">
        <v>44</v>
      </c>
      <c r="D14" s="29" t="s">
        <v>45</v>
      </c>
      <c r="E14" s="29" t="s">
        <v>46</v>
      </c>
      <c r="F14" s="29" t="s">
        <v>47</v>
      </c>
      <c r="G14" s="29" t="s">
        <v>48</v>
      </c>
      <c r="H14" s="29" t="s">
        <v>49</v>
      </c>
      <c r="I14" s="30" t="s">
        <v>50</v>
      </c>
      <c r="J14" s="29" t="s">
        <v>51</v>
      </c>
      <c r="K14" s="56" t="s">
        <v>52</v>
      </c>
      <c r="M14" s="28"/>
      <c r="N14" s="27"/>
      <c r="O14" s="27"/>
    </row>
    <row r="15" spans="2:15" ht="18" customHeight="1">
      <c r="B15" s="57">
        <v>1</v>
      </c>
      <c r="C15" s="60">
        <v>1</v>
      </c>
      <c r="D15" s="60">
        <v>1</v>
      </c>
      <c r="E15" s="60">
        <v>1</v>
      </c>
      <c r="F15" s="60">
        <v>1</v>
      </c>
      <c r="G15" s="60">
        <v>1</v>
      </c>
      <c r="H15" s="60">
        <v>1</v>
      </c>
      <c r="I15" s="60">
        <v>1</v>
      </c>
      <c r="J15" s="60">
        <v>1</v>
      </c>
      <c r="K15" s="60">
        <v>1</v>
      </c>
      <c r="L15" s="53"/>
      <c r="M15" s="28"/>
      <c r="N15" s="27"/>
      <c r="O15" s="27"/>
    </row>
    <row r="16" spans="2:15" ht="18" customHeight="1">
      <c r="B16" s="57">
        <v>2</v>
      </c>
      <c r="C16" s="60">
        <v>2</v>
      </c>
      <c r="D16" s="60">
        <v>2</v>
      </c>
      <c r="E16" s="60">
        <v>2</v>
      </c>
      <c r="F16" s="60">
        <v>2</v>
      </c>
      <c r="G16" s="60">
        <v>2</v>
      </c>
      <c r="H16" s="60">
        <v>2</v>
      </c>
      <c r="I16" s="60">
        <v>2</v>
      </c>
      <c r="J16" s="60">
        <v>2</v>
      </c>
      <c r="K16" s="60">
        <v>2</v>
      </c>
      <c r="L16" s="54"/>
      <c r="M16" s="55"/>
      <c r="N16" s="27"/>
      <c r="O16" s="27"/>
    </row>
    <row r="17" spans="2:15" ht="18" customHeight="1">
      <c r="B17" s="57">
        <v>3</v>
      </c>
      <c r="C17" s="60">
        <v>3</v>
      </c>
      <c r="D17" s="60">
        <v>3</v>
      </c>
      <c r="E17" s="60">
        <v>3</v>
      </c>
      <c r="F17" s="60">
        <v>3</v>
      </c>
      <c r="G17" s="60">
        <v>3</v>
      </c>
      <c r="H17" s="60">
        <v>3</v>
      </c>
      <c r="I17" s="60">
        <v>3</v>
      </c>
      <c r="J17" s="60">
        <v>3</v>
      </c>
      <c r="K17" s="60">
        <v>3</v>
      </c>
      <c r="L17" s="55"/>
      <c r="M17" s="55"/>
      <c r="N17" s="27"/>
      <c r="O17" s="27"/>
    </row>
    <row r="18" spans="2:15" ht="18" customHeight="1">
      <c r="B18" s="57">
        <v>4</v>
      </c>
      <c r="C18" s="60">
        <v>4</v>
      </c>
      <c r="D18" s="60">
        <v>4</v>
      </c>
      <c r="E18" s="60">
        <v>4</v>
      </c>
      <c r="F18" s="60">
        <v>4</v>
      </c>
      <c r="G18" s="60">
        <v>4</v>
      </c>
      <c r="H18" s="60">
        <v>4</v>
      </c>
      <c r="I18" s="60">
        <v>4</v>
      </c>
      <c r="J18" s="60">
        <v>4</v>
      </c>
      <c r="K18" s="60">
        <v>4</v>
      </c>
      <c r="L18" s="54"/>
      <c r="M18" s="55"/>
      <c r="N18" s="27"/>
      <c r="O18" s="27"/>
    </row>
    <row r="19" spans="2:15" ht="18" customHeight="1">
      <c r="B19" s="57">
        <v>5</v>
      </c>
      <c r="C19" s="60">
        <v>5</v>
      </c>
      <c r="D19" s="60">
        <v>5</v>
      </c>
      <c r="E19" s="60">
        <v>5</v>
      </c>
      <c r="F19" s="60">
        <v>5</v>
      </c>
      <c r="G19" s="60">
        <v>5</v>
      </c>
      <c r="H19" s="60">
        <v>5</v>
      </c>
      <c r="I19" s="60">
        <v>5</v>
      </c>
      <c r="J19" s="60">
        <v>5</v>
      </c>
      <c r="K19" s="60">
        <v>5</v>
      </c>
      <c r="L19" s="27"/>
      <c r="M19" s="28"/>
      <c r="N19" s="27"/>
      <c r="O19" s="27"/>
    </row>
    <row r="20" spans="2:15" ht="18" customHeight="1">
      <c r="B20" s="57">
        <v>6</v>
      </c>
      <c r="C20" s="60">
        <v>6</v>
      </c>
      <c r="D20" s="60">
        <v>6</v>
      </c>
      <c r="E20" s="60">
        <v>6</v>
      </c>
      <c r="F20" s="60">
        <v>6</v>
      </c>
      <c r="G20" s="60">
        <v>6</v>
      </c>
      <c r="H20" s="60">
        <v>6</v>
      </c>
      <c r="I20" s="60">
        <v>6</v>
      </c>
      <c r="J20" s="60">
        <v>6</v>
      </c>
      <c r="K20" s="60">
        <v>6</v>
      </c>
      <c r="L20" s="27"/>
      <c r="M20" s="28"/>
      <c r="N20" s="27"/>
      <c r="O20" s="28"/>
    </row>
    <row r="21" spans="2:15" ht="18" customHeight="1">
      <c r="B21" s="57">
        <v>7</v>
      </c>
      <c r="C21" s="60">
        <v>7</v>
      </c>
      <c r="D21" s="60">
        <v>7</v>
      </c>
      <c r="E21" s="60">
        <v>7</v>
      </c>
      <c r="F21" s="60">
        <v>7</v>
      </c>
      <c r="G21" s="60">
        <v>7</v>
      </c>
      <c r="H21" s="60">
        <v>7</v>
      </c>
      <c r="I21" s="60">
        <v>7</v>
      </c>
      <c r="J21" s="60">
        <v>7</v>
      </c>
      <c r="K21" s="60">
        <v>7</v>
      </c>
      <c r="M21" s="28"/>
      <c r="N21" s="27"/>
      <c r="O21" s="28"/>
    </row>
    <row r="22" spans="2:15" ht="18" customHeight="1">
      <c r="B22" s="57">
        <v>8</v>
      </c>
      <c r="C22" s="60">
        <v>8</v>
      </c>
      <c r="D22" s="60">
        <v>8</v>
      </c>
      <c r="E22" s="60">
        <v>8</v>
      </c>
      <c r="F22" s="60">
        <v>8</v>
      </c>
      <c r="G22" s="60">
        <v>8</v>
      </c>
      <c r="H22" s="60">
        <v>8</v>
      </c>
      <c r="I22" s="60">
        <v>8</v>
      </c>
      <c r="J22" s="60">
        <v>8</v>
      </c>
      <c r="K22" s="60">
        <v>8</v>
      </c>
      <c r="M22" s="28"/>
      <c r="N22" s="27"/>
      <c r="O22" s="28"/>
    </row>
    <row r="23" spans="2:15" ht="18" customHeight="1">
      <c r="B23" s="57">
        <v>9</v>
      </c>
      <c r="C23" s="60">
        <v>9</v>
      </c>
      <c r="D23" s="60">
        <v>9</v>
      </c>
      <c r="E23" s="60">
        <v>9</v>
      </c>
      <c r="F23" s="60">
        <v>9</v>
      </c>
      <c r="G23" s="60">
        <v>9</v>
      </c>
      <c r="H23" s="60">
        <v>9</v>
      </c>
      <c r="I23" s="60">
        <v>9</v>
      </c>
      <c r="J23" s="60">
        <v>9</v>
      </c>
      <c r="K23" s="60">
        <v>9</v>
      </c>
      <c r="M23" s="28"/>
      <c r="N23" s="27"/>
      <c r="O23" s="27"/>
    </row>
    <row r="24" spans="2:15" ht="18" customHeight="1">
      <c r="B24" s="57">
        <v>10</v>
      </c>
      <c r="C24" s="60">
        <v>10</v>
      </c>
      <c r="D24" s="60">
        <v>10</v>
      </c>
      <c r="E24" s="60">
        <v>10</v>
      </c>
      <c r="F24" s="60">
        <v>10</v>
      </c>
      <c r="G24" s="60">
        <v>10</v>
      </c>
      <c r="H24" s="60">
        <v>10</v>
      </c>
      <c r="I24" s="60">
        <v>10</v>
      </c>
      <c r="J24" s="60">
        <v>10</v>
      </c>
      <c r="K24" s="60">
        <v>10</v>
      </c>
      <c r="M24" s="28"/>
      <c r="N24" s="27"/>
      <c r="O24" s="27"/>
    </row>
    <row r="25" spans="2:15" ht="15.75" customHeight="1">
      <c r="B25" s="57">
        <v>11</v>
      </c>
      <c r="C25" s="60">
        <v>11</v>
      </c>
      <c r="D25" s="60">
        <v>11</v>
      </c>
      <c r="E25" s="60">
        <v>11</v>
      </c>
      <c r="F25" s="60">
        <v>11</v>
      </c>
      <c r="G25" s="60">
        <v>11</v>
      </c>
      <c r="H25" s="60">
        <v>11</v>
      </c>
      <c r="I25" s="60">
        <v>11</v>
      </c>
      <c r="J25" s="60">
        <v>11</v>
      </c>
      <c r="K25" s="60">
        <v>11</v>
      </c>
      <c r="M25" s="28"/>
      <c r="N25" s="27"/>
      <c r="O25" s="27"/>
    </row>
    <row r="26" spans="2:15" ht="15.75" customHeight="1">
      <c r="B26" s="57">
        <v>12</v>
      </c>
      <c r="C26" s="60">
        <v>12</v>
      </c>
      <c r="D26" s="60">
        <v>12</v>
      </c>
      <c r="E26" s="60">
        <v>12</v>
      </c>
      <c r="F26" s="60">
        <v>12</v>
      </c>
      <c r="G26" s="60">
        <v>12</v>
      </c>
      <c r="H26" s="60">
        <v>12</v>
      </c>
      <c r="I26" s="60">
        <v>12</v>
      </c>
      <c r="J26" s="60">
        <v>12</v>
      </c>
      <c r="K26" s="60">
        <v>12</v>
      </c>
      <c r="M26" s="28"/>
      <c r="N26" s="27"/>
      <c r="O26" s="27"/>
    </row>
    <row r="27" spans="2:15" ht="15.75" customHeight="1">
      <c r="B27" s="57">
        <v>13</v>
      </c>
      <c r="C27" s="60">
        <v>13</v>
      </c>
      <c r="D27" s="60">
        <v>13</v>
      </c>
      <c r="E27" s="60">
        <v>13</v>
      </c>
      <c r="F27" s="60">
        <v>13</v>
      </c>
      <c r="G27" s="60">
        <v>13</v>
      </c>
      <c r="H27" s="60">
        <v>13</v>
      </c>
      <c r="I27" s="60">
        <v>13</v>
      </c>
      <c r="J27" s="60">
        <v>13</v>
      </c>
      <c r="K27" s="60">
        <v>13</v>
      </c>
      <c r="M27" s="28"/>
      <c r="N27" s="27"/>
      <c r="O27" s="27"/>
    </row>
    <row r="28" spans="2:15" ht="15.75" customHeight="1">
      <c r="B28" s="57">
        <v>14</v>
      </c>
      <c r="C28" s="60">
        <v>14</v>
      </c>
      <c r="D28" s="60">
        <v>14</v>
      </c>
      <c r="E28" s="60">
        <v>14</v>
      </c>
      <c r="F28" s="60">
        <v>14</v>
      </c>
      <c r="G28" s="60">
        <v>14</v>
      </c>
      <c r="H28" s="60">
        <v>14</v>
      </c>
      <c r="I28" s="60">
        <v>14</v>
      </c>
      <c r="J28" s="60">
        <v>14</v>
      </c>
      <c r="K28" s="60">
        <v>14</v>
      </c>
      <c r="M28" s="28"/>
      <c r="N28" s="27"/>
      <c r="O28" s="27"/>
    </row>
    <row r="29" spans="2:15" ht="15.75" customHeight="1">
      <c r="B29" s="57">
        <v>15</v>
      </c>
      <c r="C29" s="60">
        <v>15</v>
      </c>
      <c r="D29" s="60">
        <v>15</v>
      </c>
      <c r="E29" s="60">
        <v>15</v>
      </c>
      <c r="F29" s="60">
        <v>15</v>
      </c>
      <c r="G29" s="60">
        <v>15</v>
      </c>
      <c r="H29" s="60">
        <v>15</v>
      </c>
      <c r="I29" s="60">
        <v>15</v>
      </c>
      <c r="J29" s="60">
        <v>15</v>
      </c>
      <c r="K29" s="60">
        <v>15</v>
      </c>
      <c r="M29" s="28"/>
      <c r="N29" s="27"/>
      <c r="O29" s="27"/>
    </row>
    <row r="30" spans="2:15" ht="15.75" customHeight="1">
      <c r="B30" s="57">
        <v>16</v>
      </c>
      <c r="C30" s="60">
        <v>16</v>
      </c>
      <c r="D30" s="60">
        <v>16</v>
      </c>
      <c r="E30" s="60">
        <v>16</v>
      </c>
      <c r="F30" s="60">
        <v>16</v>
      </c>
      <c r="G30" s="60">
        <v>16</v>
      </c>
      <c r="H30" s="60">
        <v>16</v>
      </c>
      <c r="I30" s="60">
        <v>16</v>
      </c>
      <c r="J30" s="60">
        <v>16</v>
      </c>
      <c r="K30" s="60">
        <v>16</v>
      </c>
      <c r="M30" s="27"/>
      <c r="N30" s="27"/>
      <c r="O30" s="27"/>
    </row>
    <row r="31" spans="2:15" ht="15.75" customHeight="1">
      <c r="B31" s="58">
        <v>17</v>
      </c>
      <c r="C31" s="60">
        <v>17</v>
      </c>
      <c r="D31" s="60">
        <v>17</v>
      </c>
      <c r="E31" s="60">
        <v>17</v>
      </c>
      <c r="F31" s="60">
        <v>17</v>
      </c>
      <c r="G31" s="60">
        <v>17</v>
      </c>
      <c r="H31" s="60">
        <v>17</v>
      </c>
      <c r="I31" s="60">
        <v>17</v>
      </c>
      <c r="J31" s="60">
        <v>17</v>
      </c>
      <c r="K31" s="60">
        <v>17</v>
      </c>
      <c r="M31" s="27"/>
      <c r="N31" s="27"/>
      <c r="O31" s="27"/>
    </row>
    <row r="32" spans="2:15" ht="15.75" customHeight="1">
      <c r="B32" s="59">
        <v>18</v>
      </c>
      <c r="C32" s="60">
        <v>18</v>
      </c>
      <c r="D32" s="60">
        <v>18</v>
      </c>
      <c r="E32" s="60">
        <v>18</v>
      </c>
      <c r="F32" s="60">
        <v>18</v>
      </c>
      <c r="G32" s="60">
        <v>18</v>
      </c>
      <c r="H32" s="60">
        <v>18</v>
      </c>
      <c r="I32" s="60">
        <v>18</v>
      </c>
      <c r="J32" s="60">
        <v>18</v>
      </c>
      <c r="K32" s="60">
        <v>18</v>
      </c>
      <c r="M32" s="27"/>
      <c r="N32" s="27"/>
      <c r="O32" s="27"/>
    </row>
    <row r="33" spans="2:11" ht="15.75" customHeight="1">
      <c r="B33" s="60">
        <v>19</v>
      </c>
      <c r="C33" s="60">
        <v>19</v>
      </c>
      <c r="D33" s="60">
        <v>19</v>
      </c>
      <c r="E33" s="60">
        <v>19</v>
      </c>
      <c r="F33" s="60">
        <v>19</v>
      </c>
      <c r="G33" s="60">
        <v>19</v>
      </c>
      <c r="H33" s="60">
        <v>19</v>
      </c>
      <c r="I33" s="60">
        <v>19</v>
      </c>
      <c r="J33" s="60">
        <v>19</v>
      </c>
      <c r="K33" s="60">
        <v>19</v>
      </c>
    </row>
    <row r="34" spans="2:11" ht="15.75" customHeight="1">
      <c r="B34" s="26" t="s">
        <v>60</v>
      </c>
      <c r="C34" s="60">
        <v>20</v>
      </c>
      <c r="D34" s="60">
        <v>20</v>
      </c>
      <c r="E34" s="60">
        <v>20</v>
      </c>
      <c r="F34" s="60">
        <v>20</v>
      </c>
      <c r="G34" s="60">
        <v>20</v>
      </c>
      <c r="H34" s="60">
        <v>20</v>
      </c>
      <c r="I34" s="60">
        <v>20</v>
      </c>
      <c r="J34" s="60">
        <v>20</v>
      </c>
      <c r="K34" s="60">
        <v>20</v>
      </c>
    </row>
    <row r="35" spans="2:11" ht="15.75" customHeight="1">
      <c r="B35" s="26" t="s">
        <v>61</v>
      </c>
      <c r="C35" s="60">
        <v>21</v>
      </c>
      <c r="D35" s="60">
        <v>21</v>
      </c>
      <c r="E35" s="60">
        <v>21</v>
      </c>
      <c r="F35" s="60">
        <v>21</v>
      </c>
      <c r="G35" s="60">
        <v>21</v>
      </c>
      <c r="H35" s="60">
        <v>21</v>
      </c>
      <c r="I35" s="60">
        <v>21</v>
      </c>
      <c r="J35" s="60">
        <v>21</v>
      </c>
      <c r="K35" s="60">
        <v>21</v>
      </c>
    </row>
    <row r="36" spans="2:11" ht="15.75" customHeight="1">
      <c r="B36" s="26" t="s">
        <v>62</v>
      </c>
      <c r="C36" s="60">
        <v>22</v>
      </c>
      <c r="D36" s="60">
        <v>22</v>
      </c>
      <c r="E36" s="60">
        <v>22</v>
      </c>
      <c r="F36" s="60">
        <v>22</v>
      </c>
      <c r="G36" s="60">
        <v>22</v>
      </c>
      <c r="H36" s="60">
        <v>22</v>
      </c>
      <c r="I36" s="60">
        <v>22</v>
      </c>
      <c r="J36" s="60">
        <v>22</v>
      </c>
      <c r="K36" s="60">
        <v>22</v>
      </c>
    </row>
    <row r="37" spans="2:11" ht="15.75" customHeight="1">
      <c r="B37" s="26" t="s">
        <v>63</v>
      </c>
      <c r="C37" s="60">
        <v>23</v>
      </c>
      <c r="D37" s="60">
        <v>23</v>
      </c>
      <c r="E37" s="60">
        <v>23</v>
      </c>
      <c r="F37" s="60">
        <v>23</v>
      </c>
      <c r="G37" s="60">
        <v>23</v>
      </c>
      <c r="H37" s="60">
        <v>23</v>
      </c>
      <c r="I37" s="60">
        <v>23</v>
      </c>
      <c r="J37" s="60">
        <v>23</v>
      </c>
      <c r="K37" s="60">
        <v>23</v>
      </c>
    </row>
    <row r="38" spans="2:11" ht="15.75" customHeight="1">
      <c r="B38" s="26" t="s">
        <v>64</v>
      </c>
      <c r="C38" s="60">
        <v>24</v>
      </c>
      <c r="D38" s="60">
        <v>24</v>
      </c>
      <c r="E38" s="60">
        <v>24</v>
      </c>
      <c r="F38" s="60">
        <v>24</v>
      </c>
      <c r="G38" s="60">
        <v>24</v>
      </c>
      <c r="H38" s="60">
        <v>24</v>
      </c>
      <c r="I38" s="60">
        <v>24</v>
      </c>
      <c r="J38" s="60">
        <v>24</v>
      </c>
      <c r="K38" s="60">
        <v>24</v>
      </c>
    </row>
    <row r="39" spans="2:11" ht="15.75" customHeight="1">
      <c r="B39" s="26" t="s">
        <v>65</v>
      </c>
      <c r="C39" s="60">
        <v>25</v>
      </c>
      <c r="D39" s="60">
        <v>25</v>
      </c>
      <c r="E39" s="60">
        <v>25</v>
      </c>
      <c r="F39" s="60">
        <v>25</v>
      </c>
      <c r="G39" s="60">
        <v>25</v>
      </c>
      <c r="H39" s="60">
        <v>25</v>
      </c>
      <c r="I39" s="60">
        <v>25</v>
      </c>
      <c r="J39" s="60">
        <v>25</v>
      </c>
      <c r="K39" s="60">
        <v>25</v>
      </c>
    </row>
    <row r="40" spans="2:11" ht="15.75" customHeight="1">
      <c r="H40" s="24" t="s">
        <v>22</v>
      </c>
      <c r="I40" s="25">
        <f>SUM(I15:I39)</f>
        <v>325</v>
      </c>
      <c r="J40" s="24" t="s">
        <v>22</v>
      </c>
      <c r="K40" s="23">
        <f>SUM(K15:K39)</f>
        <v>325</v>
      </c>
    </row>
    <row r="41" spans="2:11" ht="15.75" customHeight="1"/>
    <row r="42" spans="2:11" ht="15.75" customHeight="1"/>
    <row r="43" spans="2:11" ht="15.75" customHeight="1"/>
    <row r="44" spans="2:11" ht="15.75" customHeight="1"/>
    <row r="45" spans="2:11" ht="15.75" customHeight="1">
      <c r="B45" s="22" t="s">
        <v>53</v>
      </c>
      <c r="C45" s="20"/>
      <c r="D45" s="22" t="s">
        <v>54</v>
      </c>
      <c r="F45" s="21" t="s">
        <v>55</v>
      </c>
      <c r="G45" s="18"/>
      <c r="H45" s="19"/>
      <c r="I45" s="21" t="s">
        <v>56</v>
      </c>
    </row>
    <row r="46" spans="2:11" ht="15.75" customHeight="1">
      <c r="B46" s="20" t="s">
        <v>57</v>
      </c>
      <c r="C46" s="20"/>
      <c r="D46" s="20" t="s">
        <v>58</v>
      </c>
      <c r="E46" s="19"/>
      <c r="F46" s="18" t="s">
        <v>59</v>
      </c>
      <c r="G46" s="18"/>
      <c r="H46" s="18"/>
      <c r="I46" s="18" t="s">
        <v>59</v>
      </c>
      <c r="J46" s="18"/>
    </row>
    <row r="47" spans="2:11" ht="15.75" customHeight="1">
      <c r="H47" s="17"/>
      <c r="I47" s="17"/>
      <c r="J47" s="17"/>
      <c r="K47" s="17"/>
    </row>
    <row r="48" spans="2: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menifest'!$D$15</f>
        <v>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f>
        <v>Dhanmondi, Dhaka</v>
      </c>
      <c r="B4" s="127"/>
      <c r="C4" s="128"/>
      <c r="D4" s="142" t="s">
        <v>3</v>
      </c>
      <c r="E4" s="143"/>
      <c r="F4" s="143"/>
      <c r="G4" s="148">
        <f>'Full menifest'!$C$15</f>
        <v>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4"/>
    </row>
    <row r="8" spans="1:14" ht="31" customHeight="1">
      <c r="A8" s="52" t="s">
        <v>4</v>
      </c>
      <c r="B8" s="121">
        <f>'Full menifest'!$E$15</f>
        <v>1</v>
      </c>
      <c r="C8" s="121"/>
      <c r="D8" s="86" t="s">
        <v>5</v>
      </c>
      <c r="E8" s="86"/>
      <c r="F8" s="86"/>
      <c r="G8" s="122" t="s">
        <v>6</v>
      </c>
      <c r="H8" s="123"/>
      <c r="I8" s="2"/>
    </row>
    <row r="9" spans="1:14" ht="23.5" customHeight="1">
      <c r="A9" s="126" t="str">
        <f>'Address Mode'!C2</f>
        <v>Paris Road,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menifest'!$H$15</f>
        <v>1</v>
      </c>
      <c r="B15" s="84"/>
      <c r="C15" s="85"/>
      <c r="D15" s="86" t="s">
        <v>19</v>
      </c>
      <c r="E15" s="86"/>
      <c r="F15" s="87">
        <f>'Full menifest'!$I$15</f>
        <v>1</v>
      </c>
      <c r="G15" s="88"/>
      <c r="H15" s="91">
        <f>'Full menifest'!K15</f>
        <v>1</v>
      </c>
      <c r="I15" s="4"/>
    </row>
    <row r="16" spans="1:14" ht="53" customHeight="1">
      <c r="A16" s="93" t="s">
        <v>20</v>
      </c>
      <c r="B16" s="94"/>
      <c r="C16" s="95"/>
      <c r="D16" s="86"/>
      <c r="E16" s="86"/>
      <c r="F16" s="89"/>
      <c r="G16" s="90"/>
      <c r="H16" s="92"/>
      <c r="I16" s="4"/>
    </row>
    <row r="17" spans="1:9" ht="28" customHeight="1">
      <c r="A17" s="96" t="s">
        <v>21</v>
      </c>
      <c r="B17" s="97"/>
      <c r="C17" s="98"/>
      <c r="D17" s="99" t="s">
        <v>22</v>
      </c>
      <c r="E17" s="100"/>
      <c r="F17" s="101"/>
      <c r="G17" s="102"/>
      <c r="H17" s="12">
        <f>H15</f>
        <v>1</v>
      </c>
      <c r="I17" s="2"/>
    </row>
    <row r="18" spans="1:9" ht="142.5" customHeight="1">
      <c r="A18" s="73" t="s">
        <v>23</v>
      </c>
      <c r="B18" s="74"/>
      <c r="C18" s="75"/>
      <c r="D18" s="76" t="s">
        <v>24</v>
      </c>
      <c r="E18" s="77"/>
      <c r="F18" s="77"/>
      <c r="G18" s="77"/>
      <c r="H18" s="78"/>
      <c r="I18" s="7"/>
    </row>
  </sheetData>
  <mergeCells count="31">
    <mergeCell ref="A1:I1"/>
    <mergeCell ref="A2:A3"/>
    <mergeCell ref="B2:C3"/>
    <mergeCell ref="E2:H2"/>
    <mergeCell ref="A4:C5"/>
    <mergeCell ref="D4:F7"/>
    <mergeCell ref="G4:H7"/>
    <mergeCell ref="F14:G14"/>
    <mergeCell ref="B8:C8"/>
    <mergeCell ref="D8:F9"/>
    <mergeCell ref="G8:H9"/>
    <mergeCell ref="A9:C9"/>
    <mergeCell ref="A10:C10"/>
    <mergeCell ref="D10:F10"/>
    <mergeCell ref="G10:H10"/>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topLeftCell="A6" zoomScale="70" zoomScaleNormal="70"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menifest'!$D$16</f>
        <v>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Mode'!B3</f>
        <v>Hasnabad, Dhaka</v>
      </c>
      <c r="B4" s="127"/>
      <c r="C4" s="128"/>
      <c r="D4" s="142" t="s">
        <v>3</v>
      </c>
      <c r="E4" s="143"/>
      <c r="F4" s="143"/>
      <c r="G4" s="148">
        <f>'Full menifest'!$C$16</f>
        <v>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menifest'!$E$16</f>
        <v>2</v>
      </c>
      <c r="C8" s="121"/>
      <c r="D8" s="86" t="s">
        <v>5</v>
      </c>
      <c r="E8" s="86"/>
      <c r="F8" s="86"/>
      <c r="G8" s="122" t="s">
        <v>6</v>
      </c>
      <c r="H8" s="123"/>
      <c r="I8" s="2"/>
    </row>
    <row r="9" spans="1:14" ht="23.5" customHeight="1">
      <c r="A9" s="126" t="str">
        <f>'Address Mode'!C3</f>
        <v>Esplanade,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106</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menifest'!$H$16</f>
        <v>2</v>
      </c>
      <c r="B15" s="84"/>
      <c r="C15" s="85"/>
      <c r="D15" s="86" t="s">
        <v>19</v>
      </c>
      <c r="E15" s="86"/>
      <c r="F15" s="87">
        <f>'Full menifest'!I16</f>
        <v>2</v>
      </c>
      <c r="G15" s="88"/>
      <c r="H15" s="91">
        <f>'Full menifest'!K16</f>
        <v>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topLeftCell="A11" zoomScale="70" zoomScaleNormal="70"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menifest'!$D$17</f>
        <v>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Mode'!B4</f>
        <v>Bongshal, Dhaka</v>
      </c>
      <c r="B4" s="127"/>
      <c r="C4" s="128"/>
      <c r="D4" s="142" t="s">
        <v>3</v>
      </c>
      <c r="E4" s="143"/>
      <c r="F4" s="143"/>
      <c r="G4" s="148">
        <f>'Full menifest'!$C$17</f>
        <v>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menifest'!$E$17</f>
        <v>3</v>
      </c>
      <c r="C8" s="121"/>
      <c r="D8" s="86" t="s">
        <v>5</v>
      </c>
      <c r="E8" s="86"/>
      <c r="F8" s="86"/>
      <c r="G8" s="122" t="s">
        <v>6</v>
      </c>
      <c r="H8" s="123"/>
      <c r="I8" s="2"/>
    </row>
    <row r="9" spans="1:14" ht="23.5" customHeight="1">
      <c r="A9" s="126" t="str">
        <f>'Address Mode'!C4</f>
        <v>Salt Lake,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106</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menifest'!$H$17</f>
        <v>3</v>
      </c>
      <c r="B15" s="84"/>
      <c r="C15" s="85"/>
      <c r="D15" s="86" t="s">
        <v>19</v>
      </c>
      <c r="E15" s="86"/>
      <c r="F15" s="87">
        <f>'Full menifest'!$I$17</f>
        <v>3</v>
      </c>
      <c r="G15" s="88"/>
      <c r="H15" s="91">
        <f>'Full menifest'!K17</f>
        <v>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menifest'!$D$18</f>
        <v>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Mode'!B5</f>
        <v>Sikkatuli, Dhaka</v>
      </c>
      <c r="B4" s="127"/>
      <c r="C4" s="128"/>
      <c r="D4" s="142" t="s">
        <v>3</v>
      </c>
      <c r="E4" s="143"/>
      <c r="F4" s="143"/>
      <c r="G4" s="148">
        <f>'Full menifest'!$C$18</f>
        <v>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menifest'!$E$18</f>
        <v>4</v>
      </c>
      <c r="C8" s="121"/>
      <c r="D8" s="86" t="s">
        <v>5</v>
      </c>
      <c r="E8" s="86"/>
      <c r="F8" s="86"/>
      <c r="G8" s="122" t="s">
        <v>6</v>
      </c>
      <c r="H8" s="123"/>
      <c r="I8" s="2"/>
    </row>
    <row r="9" spans="1:14" ht="23.5" customHeight="1">
      <c r="A9" s="126" t="str">
        <f>'Address Mode'!C5</f>
        <v>Maniktala,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menifest'!$H$18</f>
        <v>4</v>
      </c>
      <c r="B15" s="84"/>
      <c r="C15" s="85"/>
      <c r="D15" s="86" t="s">
        <v>19</v>
      </c>
      <c r="E15" s="86"/>
      <c r="F15" s="87">
        <f>'Full menifest'!$I$18</f>
        <v>4</v>
      </c>
      <c r="G15" s="88"/>
      <c r="H15" s="91">
        <f>'Full menifest'!K18</f>
        <v>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menifest'!$D$19</f>
        <v>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Mode'!B6</f>
        <v>Lalbagh, Dhaka</v>
      </c>
      <c r="B4" s="127"/>
      <c r="C4" s="128"/>
      <c r="D4" s="142" t="s">
        <v>3</v>
      </c>
      <c r="E4" s="143"/>
      <c r="F4" s="143"/>
      <c r="G4" s="148">
        <f>'Full menifest'!$C$19</f>
        <v>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menifest'!$E$19</f>
        <v>5</v>
      </c>
      <c r="C8" s="121"/>
      <c r="D8" s="86" t="s">
        <v>5</v>
      </c>
      <c r="E8" s="86"/>
      <c r="F8" s="86"/>
      <c r="G8" s="122" t="s">
        <v>6</v>
      </c>
      <c r="H8" s="123"/>
      <c r="I8" s="2"/>
    </row>
    <row r="9" spans="1:14" ht="23.5" customHeight="1">
      <c r="A9" s="126" t="str">
        <f>'Address Mode'!C6</f>
        <v>School Street,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menifest'!$H$19</f>
        <v>5</v>
      </c>
      <c r="B15" s="84"/>
      <c r="C15" s="85"/>
      <c r="D15" s="86" t="s">
        <v>19</v>
      </c>
      <c r="E15" s="86"/>
      <c r="F15" s="87">
        <f>'Full menifest'!$I$19</f>
        <v>5</v>
      </c>
      <c r="G15" s="88"/>
      <c r="H15" s="91">
        <f>'Full menifest'!K19</f>
        <v>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menifest'!$D$20</f>
        <v>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Mode'!B7</f>
        <v>Mohammadpur, Dhaka</v>
      </c>
      <c r="B4" s="127"/>
      <c r="C4" s="128"/>
      <c r="D4" s="142" t="s">
        <v>3</v>
      </c>
      <c r="E4" s="143"/>
      <c r="F4" s="143"/>
      <c r="G4" s="148">
        <f>'Full menifest'!$C$20</f>
        <v>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menifest'!$E$20</f>
        <v>6</v>
      </c>
      <c r="C8" s="121"/>
      <c r="D8" s="86" t="s">
        <v>5</v>
      </c>
      <c r="E8" s="86"/>
      <c r="F8" s="86"/>
      <c r="G8" s="122" t="s">
        <v>6</v>
      </c>
      <c r="H8" s="123"/>
      <c r="I8" s="2"/>
    </row>
    <row r="9" spans="1:14" ht="23.5" customHeight="1">
      <c r="A9" s="126" t="str">
        <f>'Address Mode'!C7</f>
        <v>Boro Bazar,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106</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menifest'!$H$20</f>
        <v>6</v>
      </c>
      <c r="B15" s="84"/>
      <c r="C15" s="85"/>
      <c r="D15" s="86" t="s">
        <v>19</v>
      </c>
      <c r="E15" s="86"/>
      <c r="F15" s="87">
        <f>'Full menifest'!$I$20</f>
        <v>6</v>
      </c>
      <c r="G15" s="88"/>
      <c r="H15" s="91">
        <f>'Full menifest'!K20</f>
        <v>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menifest'!$D$21</f>
        <v>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Mode'!B8</f>
        <v>Islampur, Dhaka</v>
      </c>
      <c r="B4" s="127"/>
      <c r="C4" s="128"/>
      <c r="D4" s="142" t="s">
        <v>3</v>
      </c>
      <c r="E4" s="143"/>
      <c r="F4" s="143"/>
      <c r="G4" s="148">
        <f>'Full menifest'!$C$21</f>
        <v>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menifest'!$E$21</f>
        <v>7</v>
      </c>
      <c r="C8" s="121"/>
      <c r="D8" s="86" t="s">
        <v>5</v>
      </c>
      <c r="E8" s="86"/>
      <c r="F8" s="86"/>
      <c r="G8" s="122" t="s">
        <v>6</v>
      </c>
      <c r="H8" s="123"/>
      <c r="I8" s="2"/>
    </row>
    <row r="9" spans="1:14" ht="23.5" customHeight="1">
      <c r="A9" s="126" t="str">
        <f>'Address Mode'!C8</f>
        <v>Dalhousie Square,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menifest'!$H$21</f>
        <v>7</v>
      </c>
      <c r="B15" s="84"/>
      <c r="C15" s="85"/>
      <c r="D15" s="86" t="s">
        <v>19</v>
      </c>
      <c r="E15" s="86"/>
      <c r="F15" s="87">
        <f>'Full menifest'!I21</f>
        <v>7</v>
      </c>
      <c r="G15" s="88"/>
      <c r="H15" s="91">
        <f>'Full menifest'!K21</f>
        <v>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menifest'!$D$22</f>
        <v>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Mode'!B9</f>
        <v>Sutrapur, Dhaka</v>
      </c>
      <c r="B4" s="127"/>
      <c r="C4" s="128"/>
      <c r="D4" s="142" t="s">
        <v>3</v>
      </c>
      <c r="E4" s="143"/>
      <c r="F4" s="143"/>
      <c r="G4" s="148">
        <f>'Full menifest'!$C$22</f>
        <v>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menifest'!$E$22</f>
        <v>8</v>
      </c>
      <c r="C8" s="121"/>
      <c r="D8" s="86" t="s">
        <v>5</v>
      </c>
      <c r="E8" s="86"/>
      <c r="F8" s="86"/>
      <c r="G8" s="122" t="s">
        <v>6</v>
      </c>
      <c r="H8" s="123"/>
      <c r="I8" s="2"/>
    </row>
    <row r="9" spans="1:14" ht="23.5" customHeight="1">
      <c r="A9" s="126" t="str">
        <f>'Address Mode'!C9</f>
        <v>Bellygunj,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menifest'!$H$22</f>
        <v>8</v>
      </c>
      <c r="B15" s="84"/>
      <c r="C15" s="85"/>
      <c r="D15" s="86" t="s">
        <v>19</v>
      </c>
      <c r="E15" s="86"/>
      <c r="F15" s="87">
        <f>'Full menifest'!$I$22</f>
        <v>8</v>
      </c>
      <c r="G15" s="88"/>
      <c r="H15" s="91">
        <f>'Full menifest'!K22</f>
        <v>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menifest'!$D$23</f>
        <v>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Mode'!B10</f>
        <v>Bongshal, Dhaka</v>
      </c>
      <c r="B4" s="127"/>
      <c r="C4" s="128"/>
      <c r="D4" s="142" t="s">
        <v>3</v>
      </c>
      <c r="E4" s="143"/>
      <c r="F4" s="143"/>
      <c r="G4" s="148">
        <f>'Full menifest'!$C$23</f>
        <v>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menifest'!$E$23</f>
        <v>9</v>
      </c>
      <c r="C8" s="121"/>
      <c r="D8" s="86" t="s">
        <v>5</v>
      </c>
      <c r="E8" s="86"/>
      <c r="F8" s="86"/>
      <c r="G8" s="122" t="s">
        <v>6</v>
      </c>
      <c r="H8" s="123"/>
      <c r="I8" s="2"/>
    </row>
    <row r="9" spans="1:14" ht="23.5" customHeight="1">
      <c r="A9" s="126" t="str">
        <f>'Address Mode'!C10</f>
        <v>Rabindra Sarani,Kolkata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menifest'!$H$23</f>
        <v>9</v>
      </c>
      <c r="B15" s="84"/>
      <c r="C15" s="85"/>
      <c r="D15" s="86" t="s">
        <v>19</v>
      </c>
      <c r="E15" s="86"/>
      <c r="F15" s="87">
        <f>'Full menifest'!$I$23</f>
        <v>9</v>
      </c>
      <c r="G15" s="88"/>
      <c r="H15" s="91">
        <f>'Full menifest'!K23</f>
        <v>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menifest'!$D$24</f>
        <v>10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Mode'!B11</f>
        <v>Azimpur, Dhaka</v>
      </c>
      <c r="B4" s="127"/>
      <c r="C4" s="128"/>
      <c r="D4" s="142" t="s">
        <v>3</v>
      </c>
      <c r="E4" s="143"/>
      <c r="F4" s="143"/>
      <c r="G4" s="148">
        <f>'Full menifest'!$C$24</f>
        <v>10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menifest'!$E$24</f>
        <v>10</v>
      </c>
      <c r="C8" s="121"/>
      <c r="D8" s="86" t="s">
        <v>5</v>
      </c>
      <c r="E8" s="86"/>
      <c r="F8" s="86"/>
      <c r="G8" s="122" t="s">
        <v>6</v>
      </c>
      <c r="H8" s="123"/>
      <c r="I8" s="2"/>
    </row>
    <row r="9" spans="1:14" ht="23.5" customHeight="1">
      <c r="A9" s="126" t="str">
        <f>'Address Mode'!C11</f>
        <v>Canning Street,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menifest'!$H$24</f>
        <v>10</v>
      </c>
      <c r="B15" s="84"/>
      <c r="C15" s="85"/>
      <c r="D15" s="86" t="s">
        <v>19</v>
      </c>
      <c r="E15" s="86"/>
      <c r="F15" s="87">
        <f>'Full menifest'!$I$24</f>
        <v>10</v>
      </c>
      <c r="G15" s="88"/>
      <c r="H15" s="91">
        <f>'Full menifest'!K24</f>
        <v>10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menifest'!$D$25</f>
        <v>11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Mode'!B12</f>
        <v>Chankharpul, Dhaka</v>
      </c>
      <c r="B4" s="127"/>
      <c r="C4" s="128"/>
      <c r="D4" s="142" t="s">
        <v>3</v>
      </c>
      <c r="E4" s="143"/>
      <c r="F4" s="143"/>
      <c r="G4" s="148">
        <f>'Full menifest'!$C$25</f>
        <v>11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menifest'!$E$25</f>
        <v>11</v>
      </c>
      <c r="C8" s="121"/>
      <c r="D8" s="86" t="s">
        <v>5</v>
      </c>
      <c r="E8" s="86"/>
      <c r="F8" s="86"/>
      <c r="G8" s="122" t="s">
        <v>6</v>
      </c>
      <c r="H8" s="123"/>
      <c r="I8" s="2"/>
    </row>
    <row r="9" spans="1:14" ht="23.5" customHeight="1">
      <c r="A9" s="126" t="str">
        <f>'Address Mode'!C12</f>
        <v>Maniktala,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menifest'!$H$25</f>
        <v>11</v>
      </c>
      <c r="B15" s="84"/>
      <c r="C15" s="85"/>
      <c r="D15" s="86" t="s">
        <v>19</v>
      </c>
      <c r="E15" s="86"/>
      <c r="F15" s="87">
        <f>'Full menifest'!$I$25</f>
        <v>11</v>
      </c>
      <c r="G15" s="88"/>
      <c r="H15" s="91">
        <f>'Full menifest'!K25</f>
        <v>11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menifest'!$D$26</f>
        <v>12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Mode'!B13</f>
        <v>Nazirabazar, Dhaka</v>
      </c>
      <c r="B4" s="127"/>
      <c r="C4" s="128"/>
      <c r="D4" s="142" t="s">
        <v>3</v>
      </c>
      <c r="E4" s="143"/>
      <c r="F4" s="143"/>
      <c r="G4" s="148">
        <f>'Full menifest'!$C$26</f>
        <v>12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menifest'!$E$26</f>
        <v>12</v>
      </c>
      <c r="C8" s="121"/>
      <c r="D8" s="86" t="s">
        <v>5</v>
      </c>
      <c r="E8" s="86"/>
      <c r="F8" s="86"/>
      <c r="G8" s="122" t="s">
        <v>6</v>
      </c>
      <c r="H8" s="123"/>
      <c r="I8" s="2"/>
    </row>
    <row r="9" spans="1:14" ht="23.5" customHeight="1">
      <c r="A9" s="126" t="str">
        <f>'Address Mode'!C13</f>
        <v>Bhowanipore,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menifest'!$H$26</f>
        <v>12</v>
      </c>
      <c r="B15" s="84"/>
      <c r="C15" s="85"/>
      <c r="D15" s="86" t="s">
        <v>19</v>
      </c>
      <c r="E15" s="86"/>
      <c r="F15" s="87">
        <f>'Full menifest'!I26</f>
        <v>12</v>
      </c>
      <c r="G15" s="88"/>
      <c r="H15" s="91">
        <f>'Full menifest'!K26</f>
        <v>12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menifest'!$D$27</f>
        <v>13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Mode'!B14</f>
        <v>Bongshal, Dhaka</v>
      </c>
      <c r="B4" s="127"/>
      <c r="C4" s="128"/>
      <c r="D4" s="142" t="s">
        <v>3</v>
      </c>
      <c r="E4" s="143"/>
      <c r="F4" s="143"/>
      <c r="G4" s="148">
        <f>'Full menifest'!$C$27</f>
        <v>13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menifest'!$E$27</f>
        <v>13</v>
      </c>
      <c r="C8" s="121"/>
      <c r="D8" s="86" t="s">
        <v>5</v>
      </c>
      <c r="E8" s="86"/>
      <c r="F8" s="86"/>
      <c r="G8" s="122" t="s">
        <v>6</v>
      </c>
      <c r="H8" s="123"/>
      <c r="I8" s="2"/>
    </row>
    <row r="9" spans="1:14" ht="23.5" customHeight="1">
      <c r="A9" s="126" t="str">
        <f>'Address Mode'!C14</f>
        <v>Rajarhat,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menifest'!$H$27</f>
        <v>13</v>
      </c>
      <c r="B15" s="84"/>
      <c r="C15" s="85"/>
      <c r="D15" s="86" t="s">
        <v>19</v>
      </c>
      <c r="E15" s="86"/>
      <c r="F15" s="87">
        <f>'Full menifest'!$I$27</f>
        <v>13</v>
      </c>
      <c r="G15" s="88"/>
      <c r="H15" s="91">
        <f>'Full menifest'!K27</f>
        <v>13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menifest'!$D$28</f>
        <v>14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Mode'!B15</f>
        <v>Molvibazar, Dhaka</v>
      </c>
      <c r="B4" s="127"/>
      <c r="C4" s="128"/>
      <c r="D4" s="142" t="s">
        <v>3</v>
      </c>
      <c r="E4" s="143"/>
      <c r="F4" s="143"/>
      <c r="G4" s="148">
        <f>'Full menifest'!$C$28</f>
        <v>14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menifest'!$E$28</f>
        <v>14</v>
      </c>
      <c r="C8" s="121"/>
      <c r="D8" s="86" t="s">
        <v>5</v>
      </c>
      <c r="E8" s="86"/>
      <c r="F8" s="86"/>
      <c r="G8" s="122" t="s">
        <v>6</v>
      </c>
      <c r="H8" s="123"/>
      <c r="I8" s="2"/>
    </row>
    <row r="9" spans="1:14" ht="23.5" customHeight="1">
      <c r="A9" s="126" t="str">
        <f>'Address Mode'!C15</f>
        <v>Hazra Road,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menifest'!$H$28</f>
        <v>14</v>
      </c>
      <c r="B15" s="84"/>
      <c r="C15" s="85"/>
      <c r="D15" s="86" t="s">
        <v>19</v>
      </c>
      <c r="E15" s="86"/>
      <c r="F15" s="87">
        <f>'Full menifest'!$I$28</f>
        <v>14</v>
      </c>
      <c r="G15" s="88"/>
      <c r="H15" s="91">
        <f>'Full menifest'!K28</f>
        <v>14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menifest'!$D$29</f>
        <v>15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Mode'!B16</f>
        <v>Ramna, Dhaka</v>
      </c>
      <c r="B4" s="127"/>
      <c r="C4" s="128"/>
      <c r="D4" s="142" t="s">
        <v>3</v>
      </c>
      <c r="E4" s="143"/>
      <c r="F4" s="143"/>
      <c r="G4" s="148">
        <f>'Full menifest'!$C$29</f>
        <v>15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menifest'!$E$29</f>
        <v>15</v>
      </c>
      <c r="C8" s="121"/>
      <c r="D8" s="86" t="s">
        <v>5</v>
      </c>
      <c r="E8" s="86"/>
      <c r="F8" s="86"/>
      <c r="G8" s="122" t="s">
        <v>6</v>
      </c>
      <c r="H8" s="123"/>
      <c r="I8" s="2"/>
    </row>
    <row r="9" spans="1:14" ht="23.5" customHeight="1">
      <c r="A9" s="126" t="str">
        <f>'Address Mode'!C16</f>
        <v>Razar Bazar,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menifest'!$H$29</f>
        <v>15</v>
      </c>
      <c r="B15" s="84"/>
      <c r="C15" s="85"/>
      <c r="D15" s="86" t="s">
        <v>19</v>
      </c>
      <c r="E15" s="86"/>
      <c r="F15" s="87">
        <f>'Full menifest'!$I$29</f>
        <v>15</v>
      </c>
      <c r="G15" s="88"/>
      <c r="H15" s="91">
        <f>'Full menifest'!K29</f>
        <v>15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menifest'!$D$30</f>
        <v>16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Mode'!B17</f>
        <v>Mirpur, Dhaka</v>
      </c>
      <c r="B4" s="127"/>
      <c r="C4" s="128"/>
      <c r="D4" s="142" t="s">
        <v>3</v>
      </c>
      <c r="E4" s="143"/>
      <c r="F4" s="143"/>
      <c r="G4" s="148">
        <f>'Full menifest'!$C$30</f>
        <v>16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menifest'!$E$30</f>
        <v>16</v>
      </c>
      <c r="C8" s="121"/>
      <c r="D8" s="86" t="s">
        <v>5</v>
      </c>
      <c r="E8" s="86"/>
      <c r="F8" s="86"/>
      <c r="G8" s="122" t="s">
        <v>6</v>
      </c>
      <c r="H8" s="123"/>
      <c r="I8" s="2"/>
    </row>
    <row r="9" spans="1:14" ht="23.5" customHeight="1">
      <c r="A9" s="126" t="str">
        <f>'Address Mode'!C17</f>
        <v>Dum Dum,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menifest'!$H$30</f>
        <v>16</v>
      </c>
      <c r="B15" s="84"/>
      <c r="C15" s="85"/>
      <c r="D15" s="86" t="s">
        <v>19</v>
      </c>
      <c r="E15" s="86"/>
      <c r="F15" s="87">
        <f>'Full menifest'!$I$30</f>
        <v>16</v>
      </c>
      <c r="G15" s="88"/>
      <c r="H15" s="91">
        <f>'Full menifest'!K30</f>
        <v>16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menifest'!$D$31</f>
        <v>17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Mode'!B18</f>
        <v>Kamalapur, Dhaka</v>
      </c>
      <c r="B4" s="127"/>
      <c r="C4" s="128"/>
      <c r="D4" s="142" t="s">
        <v>3</v>
      </c>
      <c r="E4" s="143"/>
      <c r="F4" s="143"/>
      <c r="G4" s="148">
        <f>'Full menifest'!$C$31</f>
        <v>17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menifest'!$E$31</f>
        <v>17</v>
      </c>
      <c r="C8" s="121"/>
      <c r="D8" s="86" t="s">
        <v>5</v>
      </c>
      <c r="E8" s="86"/>
      <c r="F8" s="86"/>
      <c r="G8" s="122" t="s">
        <v>6</v>
      </c>
      <c r="H8" s="123"/>
      <c r="I8" s="2"/>
    </row>
    <row r="9" spans="1:14" ht="23.5" customHeight="1">
      <c r="A9" s="126" t="str">
        <f>'Address Mode'!C18</f>
        <v>Free School Street,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menifest'!$H$31</f>
        <v>17</v>
      </c>
      <c r="B15" s="84"/>
      <c r="C15" s="85"/>
      <c r="D15" s="86" t="s">
        <v>19</v>
      </c>
      <c r="E15" s="86"/>
      <c r="F15" s="87">
        <f>'Full menifest'!I31</f>
        <v>17</v>
      </c>
      <c r="G15" s="88"/>
      <c r="H15" s="91">
        <f>'Full menifest'!K31</f>
        <v>17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menifest'!$D$32</f>
        <v>18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Mode'!B19</f>
        <v>Elephant Road, Dhaka</v>
      </c>
      <c r="B4" s="127"/>
      <c r="C4" s="128"/>
      <c r="D4" s="142" t="s">
        <v>3</v>
      </c>
      <c r="E4" s="143"/>
      <c r="F4" s="143"/>
      <c r="G4" s="148">
        <f>'Full menifest'!$C$32</f>
        <v>18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menifest'!$E$32</f>
        <v>18</v>
      </c>
      <c r="C8" s="121"/>
      <c r="D8" s="86" t="s">
        <v>5</v>
      </c>
      <c r="E8" s="86"/>
      <c r="F8" s="86"/>
      <c r="G8" s="122" t="s">
        <v>6</v>
      </c>
      <c r="H8" s="123"/>
      <c r="I8" s="2"/>
    </row>
    <row r="9" spans="1:14" ht="23.5" customHeight="1">
      <c r="A9" s="126" t="str">
        <f>'Address Mode'!C19</f>
        <v>Daspara,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menifest'!$H$32</f>
        <v>18</v>
      </c>
      <c r="B15" s="84"/>
      <c r="C15" s="85"/>
      <c r="D15" s="86" t="s">
        <v>19</v>
      </c>
      <c r="E15" s="86"/>
      <c r="F15" s="87">
        <f>'Full menifest'!$I$32</f>
        <v>18</v>
      </c>
      <c r="G15" s="88"/>
      <c r="H15" s="91">
        <f>'Full menifest'!K32</f>
        <v>18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menifest'!$D$33</f>
        <v>19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Mode'!B20</f>
        <v>Tikatuli, Dhaka</v>
      </c>
      <c r="B4" s="127"/>
      <c r="C4" s="128"/>
      <c r="D4" s="142" t="s">
        <v>3</v>
      </c>
      <c r="E4" s="143"/>
      <c r="F4" s="143"/>
      <c r="G4" s="148">
        <f>'Full menifest'!$C$33</f>
        <v>19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menifest'!$E$33</f>
        <v>19</v>
      </c>
      <c r="C8" s="121"/>
      <c r="D8" s="86" t="s">
        <v>5</v>
      </c>
      <c r="E8" s="86"/>
      <c r="F8" s="86"/>
      <c r="G8" s="122" t="s">
        <v>6</v>
      </c>
      <c r="H8" s="123"/>
      <c r="I8" s="2"/>
    </row>
    <row r="9" spans="1:14" ht="23.5" customHeight="1">
      <c r="A9" s="126" t="str">
        <f>'Address Mode'!C20</f>
        <v>Mirza Ghalib Steet,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menifest'!$H$33</f>
        <v>19</v>
      </c>
      <c r="B15" s="84"/>
      <c r="C15" s="85"/>
      <c r="D15" s="86" t="s">
        <v>19</v>
      </c>
      <c r="E15" s="86"/>
      <c r="F15" s="87">
        <f>'Full menifest'!$I$33</f>
        <v>19</v>
      </c>
      <c r="G15" s="88"/>
      <c r="H15" s="91">
        <f>'Full menifest'!K33</f>
        <v>19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menifest'!$D$34</f>
        <v>20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Mode'!B21</f>
        <v>Satrowza, Dhaka</v>
      </c>
      <c r="B4" s="127"/>
      <c r="C4" s="128"/>
      <c r="D4" s="142" t="s">
        <v>3</v>
      </c>
      <c r="E4" s="143"/>
      <c r="F4" s="143"/>
      <c r="G4" s="148">
        <f>'Full menifest'!$C$34</f>
        <v>20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menifest'!$E$34</f>
        <v>20</v>
      </c>
      <c r="C8" s="121"/>
      <c r="D8" s="86" t="s">
        <v>5</v>
      </c>
      <c r="E8" s="86"/>
      <c r="F8" s="86"/>
      <c r="G8" s="122" t="s">
        <v>6</v>
      </c>
      <c r="H8" s="123"/>
      <c r="I8" s="2"/>
    </row>
    <row r="9" spans="1:14" ht="23.5" customHeight="1">
      <c r="A9" s="126" t="str">
        <f>'Address Mode'!C21</f>
        <v>Rabindra Sarani,Kolkata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menifest'!$H$34</f>
        <v>20</v>
      </c>
      <c r="B15" s="84"/>
      <c r="C15" s="85"/>
      <c r="D15" s="86" t="s">
        <v>19</v>
      </c>
      <c r="E15" s="86"/>
      <c r="F15" s="87">
        <f>'Full menifest'!$I$34</f>
        <v>20</v>
      </c>
      <c r="G15" s="88"/>
      <c r="H15" s="91">
        <f>'Full menifest'!K34</f>
        <v>20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menifest'!$D$35</f>
        <v>21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Mode'!B22</f>
        <v>Kamrangirchar, Dhaka</v>
      </c>
      <c r="B4" s="127"/>
      <c r="C4" s="128"/>
      <c r="D4" s="142" t="s">
        <v>3</v>
      </c>
      <c r="E4" s="143"/>
      <c r="F4" s="143"/>
      <c r="G4" s="148">
        <f>'Full menifest'!$C$35</f>
        <v>21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menifest'!$E$35</f>
        <v>21</v>
      </c>
      <c r="C8" s="121"/>
      <c r="D8" s="86" t="s">
        <v>5</v>
      </c>
      <c r="E8" s="86"/>
      <c r="F8" s="86"/>
      <c r="G8" s="122" t="s">
        <v>6</v>
      </c>
      <c r="H8" s="123"/>
      <c r="I8" s="2"/>
    </row>
    <row r="9" spans="1:14" ht="23.5" customHeight="1">
      <c r="A9" s="126" t="str">
        <f>'Address Mode'!C22</f>
        <v>Banarjee Road,Kolkata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menifest'!$H$35</f>
        <v>21</v>
      </c>
      <c r="B15" s="84"/>
      <c r="C15" s="85"/>
      <c r="D15" s="86" t="s">
        <v>19</v>
      </c>
      <c r="E15" s="86"/>
      <c r="F15" s="87">
        <f>'Full menifest'!$I$35</f>
        <v>21</v>
      </c>
      <c r="G15" s="88"/>
      <c r="H15" s="91">
        <f>'Full menifest'!K35</f>
        <v>21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menifest'!$D$36</f>
        <v>22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Mode'!B23</f>
        <v>Tikatuli, Dhaka</v>
      </c>
      <c r="B4" s="127"/>
      <c r="C4" s="128"/>
      <c r="D4" s="142" t="s">
        <v>3</v>
      </c>
      <c r="E4" s="143"/>
      <c r="F4" s="143"/>
      <c r="G4" s="148">
        <f>'Full menifest'!$C$36</f>
        <v>22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menifest'!$E$36</f>
        <v>22</v>
      </c>
      <c r="C8" s="121"/>
      <c r="D8" s="86" t="s">
        <v>5</v>
      </c>
      <c r="E8" s="86"/>
      <c r="F8" s="86"/>
      <c r="G8" s="122" t="s">
        <v>6</v>
      </c>
      <c r="H8" s="123"/>
      <c r="I8" s="2"/>
    </row>
    <row r="9" spans="1:14" ht="23.5" customHeight="1">
      <c r="A9" s="126" t="str">
        <f>'Address Mode'!C23</f>
        <v>Park Circus,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menifest'!$H$36</f>
        <v>22</v>
      </c>
      <c r="B15" s="84"/>
      <c r="C15" s="85"/>
      <c r="D15" s="86" t="s">
        <v>19</v>
      </c>
      <c r="E15" s="86"/>
      <c r="F15" s="87">
        <f>'Full menifest'!$I$36</f>
        <v>22</v>
      </c>
      <c r="G15" s="88"/>
      <c r="H15" s="91">
        <f>'Full menifest'!K36</f>
        <v>22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menifest'!$D$37</f>
        <v>23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Mode'!B24</f>
        <v>Amligola, Dhaka</v>
      </c>
      <c r="B4" s="127"/>
      <c r="C4" s="128"/>
      <c r="D4" s="142" t="s">
        <v>3</v>
      </c>
      <c r="E4" s="143"/>
      <c r="F4" s="143"/>
      <c r="G4" s="148">
        <f>'Full menifest'!$C$37</f>
        <v>23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menifest'!$E$37</f>
        <v>23</v>
      </c>
      <c r="C8" s="121"/>
      <c r="D8" s="86" t="s">
        <v>5</v>
      </c>
      <c r="E8" s="86"/>
      <c r="F8" s="86"/>
      <c r="G8" s="122" t="s">
        <v>6</v>
      </c>
      <c r="H8" s="123"/>
      <c r="I8" s="2"/>
    </row>
    <row r="9" spans="1:14" ht="23.5" customHeight="1">
      <c r="A9" s="126" t="str">
        <f>'Address Mode'!C24</f>
        <v xml:space="preserve"> Bidhannagar,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menifest'!$H$37</f>
        <v>23</v>
      </c>
      <c r="B15" s="84"/>
      <c r="C15" s="85"/>
      <c r="D15" s="86" t="s">
        <v>19</v>
      </c>
      <c r="E15" s="86"/>
      <c r="F15" s="87">
        <f>'Full menifest'!$I$37</f>
        <v>23</v>
      </c>
      <c r="G15" s="88"/>
      <c r="H15" s="91">
        <f>'Full menifest'!K37</f>
        <v>23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menifest'!$D$38</f>
        <v>24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Mode'!B25</f>
        <v>Malibagh, Dhaka</v>
      </c>
      <c r="B4" s="127"/>
      <c r="C4" s="128"/>
      <c r="D4" s="142" t="s">
        <v>3</v>
      </c>
      <c r="E4" s="143"/>
      <c r="F4" s="143"/>
      <c r="G4" s="148">
        <f>'Full menifest'!$C$38</f>
        <v>24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menifest'!$E$38</f>
        <v>24</v>
      </c>
      <c r="C8" s="121"/>
      <c r="D8" s="86" t="s">
        <v>5</v>
      </c>
      <c r="E8" s="86"/>
      <c r="F8" s="86"/>
      <c r="G8" s="122" t="s">
        <v>6</v>
      </c>
      <c r="H8" s="123"/>
      <c r="I8" s="2"/>
    </row>
    <row r="9" spans="1:14" ht="23.5" customHeight="1">
      <c r="A9" s="126" t="str">
        <f>'Address Mode'!C25</f>
        <v>Thakur Pur,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menifest'!$H$38</f>
        <v>24</v>
      </c>
      <c r="B15" s="84"/>
      <c r="C15" s="85"/>
      <c r="D15" s="86" t="s">
        <v>19</v>
      </c>
      <c r="E15" s="86"/>
      <c r="F15" s="87">
        <f>'Full menifest'!$I$38</f>
        <v>24</v>
      </c>
      <c r="G15" s="88"/>
      <c r="H15" s="91">
        <f>'Full menifest'!K38</f>
        <v>24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tabSelected="1" zoomScale="55" zoomScaleNormal="55" workbookViewId="0">
      <selection activeCell="V12" sqref="V12"/>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menifest'!$D$39</f>
        <v>25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t="str">
        <f>'Address Mode'!B26</f>
        <v>Amin Nagar, Dhaka</v>
      </c>
      <c r="B4" s="127"/>
      <c r="C4" s="128"/>
      <c r="D4" s="142" t="s">
        <v>3</v>
      </c>
      <c r="E4" s="143"/>
      <c r="F4" s="143"/>
      <c r="G4" s="148">
        <f>'Full menifest'!$C$39</f>
        <v>25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menifest'!$E$39</f>
        <v>25</v>
      </c>
      <c r="C8" s="121"/>
      <c r="D8" s="86" t="s">
        <v>5</v>
      </c>
      <c r="E8" s="86"/>
      <c r="F8" s="86"/>
      <c r="G8" s="122" t="s">
        <v>6</v>
      </c>
      <c r="H8" s="123"/>
      <c r="I8" s="2"/>
    </row>
    <row r="9" spans="1:14" ht="23.5" customHeight="1">
      <c r="A9" s="126" t="str">
        <f>'Address Mode'!C26</f>
        <v>Camac Street, Kolkata</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menifest'!$H$39</f>
        <v>25</v>
      </c>
      <c r="B15" s="84"/>
      <c r="C15" s="85"/>
      <c r="D15" s="86" t="s">
        <v>19</v>
      </c>
      <c r="E15" s="86"/>
      <c r="F15" s="87">
        <f>'Full menifest'!$I$39</f>
        <v>25</v>
      </c>
      <c r="G15" s="88"/>
      <c r="H15" s="91">
        <f>'Full menifest'!K39</f>
        <v>25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2023-08-13T16:25:19Z</cp:lastPrinted>
  <dcterms:created xsi:type="dcterms:W3CDTF">2023-08-13T10:04:38Z</dcterms:created>
  <dcterms:modified xsi:type="dcterms:W3CDTF">2024-06-05T09:55:34Z</dcterms:modified>
</cp:coreProperties>
</file>