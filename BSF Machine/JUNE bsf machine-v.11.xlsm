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BSF Machine\"/>
    </mc:Choice>
  </mc:AlternateContent>
  <bookViews>
    <workbookView xWindow="-110" yWindow="-110" windowWidth="19420" windowHeight="10420" activeTab="1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 calcMode="manual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<sst xmlns="http://schemas.openxmlformats.org/spreadsheetml/2006/main" count="308" uniqueCount="42">
  <si>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</si>
  <si>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</si>
  <si>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</si>
  <si>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</si>
  <si>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</si>
  <si>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</si>
  <si>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</si>
  <si>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</si>
  <si>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</si>
  <si>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</si>
  <si>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</si>
  <si>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</si>
  <si>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</si>
  <si>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</si>
  <si>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</si>
  <si>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</si>
  <si>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</si>
  <si>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</si>
  <si>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</si>
  <si>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</si>
  <si>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</si>
  <si>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</si>
  <si>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</si>
  <si>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</si>
  <si>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</si>
  <si>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</si>
  <si>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</si>
  <si>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</si>
  <si>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</si>
  <si>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</si>
  <si>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</si>
  <si>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</si>
  <si>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Date: 31.05.24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</si>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</sst>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7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opLeftCell="A11" zoomScale="40" zoomScaleNormal="40" workbookViewId="0">
      <selection activeCell="P18" sqref="P18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4" t="s">
        <v>41</v>
      </c>
      <c r="F7" s="65"/>
      <c r="G7" s="1"/>
      <c r="H7" s="28" t="s">
        <v>32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3"/>
      <c r="N14" s="54"/>
    </row>
    <row r="15" spans="2:17" ht="17" customHeight="1" x14ac:dyDescent="0.4">
      <c r="B15" s="43">
        <v>1</v>
      </c>
      <c r="C15" s="44">
        <v>12</v>
      </c>
      <c r="D15" s="48">
        <v>12</v>
      </c>
      <c r="E15" s="48">
        <v>12</v>
      </c>
      <c r="F15" s="44">
        <v>12</v>
      </c>
      <c r="G15" s="44">
        <v>12</v>
      </c>
      <c r="H15" s="44">
        <v>12</v>
      </c>
      <c r="I15" s="45">
        <v>12</v>
      </c>
      <c r="J15" s="44">
        <v>12</v>
      </c>
      <c r="K15" s="46">
        <v>12</v>
      </c>
      <c r="L15" s="27"/>
      <c r="M15" s="35"/>
      <c r="N15" s="59"/>
      <c r="P15" s="66" t="s">
        <v>33</v>
      </c>
      <c r="Q15" s="66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7"/>
      <c r="Q16" s="67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6" t="s">
        <v>37</v>
      </c>
      <c r="T17" s="66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7"/>
      <c r="T18" s="67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6" t="s">
        <v>34</v>
      </c>
      <c r="Q22" s="66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7"/>
      <c r="Q23" s="67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6" t="s">
        <v>38</v>
      </c>
      <c r="T26" s="66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7"/>
      <c r="T27" s="67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6" t="s">
        <v>35</v>
      </c>
      <c r="Q30" s="66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7"/>
      <c r="Q31" s="67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6" t="s">
        <v>39</v>
      </c>
      <c r="T36" s="66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7"/>
      <c r="T37" s="67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6" t="s">
        <v>36</v>
      </c>
      <c r="Q38" s="66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7"/>
      <c r="Q39" s="67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6" t="s">
        <v>40</v>
      </c>
      <c r="T44" s="66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7"/>
      <c r="T45" s="67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12</v>
      </c>
      <c r="J57" s="30" t="s">
        <v>31</v>
      </c>
      <c r="K57" s="32">
        <f>SUM(K15:K56)</f>
        <v>12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abSelected="1" topLeftCell="A3" zoomScale="70" zoomScaleNormal="70" workbookViewId="0">
      <selection activeCell="G17" sqref="G17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IF(Sheet1!P17=0,"",Sheet1!P17)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9" t="str">
        <f>IF(C16="", "","2")</f>
        <v/>
      </c>
      <c r="C16" s="70" t="str">
        <f>IF(Sheet1!P18=0,"",Sheet1!P18)</f>
        <v/>
      </c>
      <c r="D16" s="71" t="str">
        <f>IF(C16="", "",VLOOKUP(C16,Sheet1!C15:K57,2,1))</f>
        <v/>
      </c>
      <c r="E16" s="71" t="str">
        <f>IF(C16="", "",VLOOKUP(C16,Sheet1!C15:K57,3,1))</f>
        <v/>
      </c>
      <c r="F16" s="71" t="str">
        <f>IF(C16="", "",VLOOKUP(C16,Sheet1!C15:K57,4,1))</f>
        <v/>
      </c>
      <c r="G16" s="71" t="str">
        <f>IF(C16="", "",VLOOKUP(C16,Sheet1!C15:K57,5,1))</f>
        <v/>
      </c>
      <c r="H16" s="71" t="str">
        <f>IF(C16="", "",VLOOKUP(C16,Sheet1!C15:K57,6,1))</f>
        <v/>
      </c>
      <c r="I16" s="71" t="str">
        <f>IF(C16="", "",VLOOKUP(C16,Sheet1!C15:K57,7,1))</f>
        <v/>
      </c>
      <c r="J16" s="71" t="str">
        <f>IF(C16="", "",VLOOKUP(C16,Sheet1!C15:K57,8,1))</f>
        <v/>
      </c>
      <c r="K16" s="71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C19" sqref="C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IF(Sheet1!P32=0,"",Sheet1!P32)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IF(Sheet1!P40=0,"",Sheet1!P40)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G28" sqref="G2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IF(Sheet1!S19=0,"",Sheet1!S19)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H18" sqref="H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IF(Sheet1!S38=0,"",Sheet1!S38)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G26" sqref="G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2024-06-07T13:53:01Z</dcterms:modified>
</cp:coreProperties>
</file>