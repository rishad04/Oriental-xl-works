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BSF Machine\"/>
    </mc:Choice>
  </mc:AlternateContent>
  <bookViews>
    <workbookView xWindow="-110" yWindow="-110" windowWidth="19420" windowHeight="10420" activeTab="6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</sheets>
  <calcPr calcId="162913" calcMode="manual"/>
</workbook>
</file>

<file path=xl/calcChain.xml><?xml version="1.0" encoding="utf-8"?>
<calcChain xmlns="http://schemas.openxmlformats.org/spreadsheetml/2006/main">
  <c r="C18" i="29" l="1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E16" i="29"/>
  <c r="F16" i="29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H17" i="28"/>
  <c r="I17" i="28"/>
  <c r="E17" i="25"/>
  <c r="E17" i="26"/>
  <c r="J17" i="26"/>
  <c r="B17" i="28"/>
  <c r="F17" i="28"/>
  <c r="D17" i="28"/>
  <c r="J16" i="26"/>
  <c r="D16" i="26"/>
  <c r="J16" i="29"/>
  <c r="J15" i="25"/>
  <c r="I15" i="28"/>
  <c r="E15" i="25"/>
  <c r="H15" i="26"/>
  <c r="E15" i="28"/>
  <c r="J15" i="28"/>
  <c r="F15" i="25"/>
  <c r="D15" i="26"/>
  <c r="I15" i="26"/>
  <c r="B15" i="28"/>
  <c r="F15" i="28"/>
  <c r="D15" i="29"/>
  <c r="H15" i="28"/>
  <c r="D16" i="28"/>
  <c r="D18" i="28"/>
  <c r="H18" i="28"/>
  <c r="E15" i="29"/>
  <c r="I15" i="29"/>
  <c r="G16" i="29"/>
  <c r="K16" i="29"/>
  <c r="E17" i="29"/>
  <c r="I17" i="29"/>
  <c r="G18" i="29"/>
  <c r="K18" i="29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B16" i="28"/>
  <c r="F16" i="28"/>
  <c r="B18" i="28"/>
  <c r="F18" i="28"/>
  <c r="G15" i="29"/>
  <c r="G17" i="29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<sst xmlns="http://schemas.openxmlformats.org/spreadsheetml/2006/main" count="243" uniqueCount="49">
  <si>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</si>
  <si>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</si>
  <si>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</si>
  <si>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</si>
  <si>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</si>
  <si>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</si>
  <si>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</si>
  <si>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</si>
  <si>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</si>
  <si>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</si>
  <si>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</si>
  <si>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</si>
  <si>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</si>
  <si>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</si>
  <si>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</si>
  <si>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</si>
  <si>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</si>
  <si>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</si>
  <si>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</si>
  <si>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</si>
  <si>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</si>
  <si>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</si>
  <si>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</si>
  <si>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</si>
  <si>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</si>
  <si>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</si>
  <si>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</si>
  <si>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</si>
  <si>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</si>
  <si>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</si>
  <si>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</si>
  <si>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</si>
  <si>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</si>
  <si>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</si>
  <si>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</si>
  <si>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</si>
  <si>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</si>
  <si>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</si>
  <si>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</si>
  <si>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</si>
  <si>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3/6-24</t>
  </si>
  <si>
    <t>Date: 05.06.24</t>
  </si>
  <si>
    <t>MANIFEST NO: 5/6-24</t>
  </si>
  <si>
    <t>MANIFEST NO: 6/6-24</t>
  </si>
  <si>
    <t>MANIFEST NO: 7/6-24</t>
  </si>
  <si>
    <t>MANIFEST NO: 8/6-24</t>
  </si>
  <si>
    <t>MANIFEST NO: 9/6-24</t>
  </si>
  <si>
    <t>MANIFEST NO: 10/6-24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</si>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</sst>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7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0" fillId="0" borderId="15" xfId="0" applyBorder="1"/>
    <xf numFmtId="0" fontId="16" fillId="0" borderId="15" xfId="0" applyFont="1" applyBorder="1" applyAlignment="1">
      <alignment horizontal="center"/>
    </xf>
    <xf numFmtId="0" fontId="17" fillId="0" borderId="15" xfId="0" applyFont="1" applyFill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2" fontId="0" fillId="0" borderId="0" xfId="0" applyNumberFormat="1" applyBorder="1"/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opLeftCell="B10" zoomScale="40" zoomScaleNormal="40" workbookViewId="0">
      <selection activeCell="I24" sqref="I24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7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4" t="s">
        <v>40</v>
      </c>
      <c r="F7" s="65"/>
      <c r="G7" s="1"/>
      <c r="H7" s="28" t="s">
        <v>41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9</v>
      </c>
      <c r="C14" s="42" t="s">
        <v>10</v>
      </c>
      <c r="D14" s="42" t="s">
        <v>11</v>
      </c>
      <c r="E14" s="42" t="s">
        <v>12</v>
      </c>
      <c r="F14" s="42" t="s">
        <v>13</v>
      </c>
      <c r="G14" s="42" t="s">
        <v>14</v>
      </c>
      <c r="H14" s="42" t="s">
        <v>15</v>
      </c>
      <c r="I14" s="42" t="s">
        <v>16</v>
      </c>
      <c r="J14" s="42" t="s">
        <v>17</v>
      </c>
      <c r="K14" s="42" t="s">
        <v>18</v>
      </c>
      <c r="M14" s="53"/>
      <c r="N14" s="54"/>
    </row>
    <row r="15" spans="2:17" ht="17" customHeight="1" x14ac:dyDescent="0.4">
      <c r="B15" s="43">
        <v>1</v>
      </c>
      <c r="C15" s="44"/>
      <c r="D15" s="59"/>
      <c r="E15" s="59"/>
      <c r="F15" s="44"/>
      <c r="G15" s="44"/>
      <c r="H15" s="44"/>
      <c r="I15" s="45"/>
      <c r="J15" s="44"/>
      <c r="K15" s="46"/>
      <c r="L15" s="27"/>
      <c r="M15" s="53"/>
      <c r="N15" s="54"/>
      <c r="P15" s="66" t="s">
        <v>32</v>
      </c>
      <c r="Q15" s="66"/>
    </row>
    <row r="16" spans="2:17" ht="17" customHeight="1" x14ac:dyDescent="0.4">
      <c r="B16" s="43">
        <v>2</v>
      </c>
      <c r="C16" s="44"/>
      <c r="D16" s="58"/>
      <c r="E16" s="58"/>
      <c r="F16" s="44"/>
      <c r="G16" s="44"/>
      <c r="H16" s="44"/>
      <c r="I16" s="45"/>
      <c r="J16" s="44"/>
      <c r="K16" s="46"/>
      <c r="L16" s="34"/>
      <c r="M16" s="53"/>
      <c r="N16" s="54"/>
      <c r="P16" s="67"/>
      <c r="Q16" s="67"/>
    </row>
    <row r="17" spans="2:20" ht="17" customHeight="1" x14ac:dyDescent="0.4">
      <c r="B17" s="43">
        <v>3</v>
      </c>
      <c r="C17" s="44"/>
      <c r="D17" s="58"/>
      <c r="E17" s="58"/>
      <c r="F17" s="44"/>
      <c r="G17" s="44"/>
      <c r="H17" s="44"/>
      <c r="I17" s="45"/>
      <c r="J17" s="44"/>
      <c r="K17" s="46"/>
      <c r="L17" s="34"/>
      <c r="M17" s="53"/>
      <c r="N17" s="54"/>
      <c r="P17" s="44"/>
      <c r="Q17" s="45"/>
      <c r="S17" s="66" t="s">
        <v>36</v>
      </c>
      <c r="T17" s="66"/>
    </row>
    <row r="18" spans="2:20" ht="17" customHeight="1" x14ac:dyDescent="0.4">
      <c r="B18" s="43">
        <v>4</v>
      </c>
      <c r="C18" s="44"/>
      <c r="D18" s="59"/>
      <c r="E18" s="59"/>
      <c r="F18" s="44"/>
      <c r="G18" s="44"/>
      <c r="H18" s="44"/>
      <c r="I18" s="45"/>
      <c r="J18" s="44"/>
      <c r="K18" s="46"/>
      <c r="L18" s="34"/>
      <c r="M18" s="53"/>
      <c r="N18" s="54"/>
      <c r="P18" s="44"/>
      <c r="Q18" s="45"/>
      <c r="S18" s="67"/>
      <c r="T18" s="67"/>
    </row>
    <row r="19" spans="2:20" ht="17" customHeight="1" x14ac:dyDescent="0.4">
      <c r="B19" s="43">
        <v>5</v>
      </c>
      <c r="C19" s="44"/>
      <c r="D19" s="58"/>
      <c r="E19" s="58"/>
      <c r="F19" s="44"/>
      <c r="G19" s="44"/>
      <c r="H19" s="44"/>
      <c r="I19" s="45"/>
      <c r="J19" s="44"/>
      <c r="K19" s="46"/>
      <c r="L19" s="34"/>
      <c r="M19" s="53"/>
      <c r="N19" s="54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58"/>
      <c r="E20" s="5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59"/>
      <c r="E21" s="59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58"/>
      <c r="E22" s="58"/>
      <c r="F22" s="44"/>
      <c r="G22" s="44"/>
      <c r="H22" s="44"/>
      <c r="I22" s="45"/>
      <c r="J22" s="44"/>
      <c r="K22" s="46"/>
      <c r="L22" s="34"/>
      <c r="M22" s="53"/>
      <c r="N22" s="54"/>
      <c r="P22" s="66" t="s">
        <v>33</v>
      </c>
      <c r="Q22" s="66"/>
      <c r="S22" s="44"/>
      <c r="T22" s="45"/>
    </row>
    <row r="23" spans="2:20" ht="17" customHeight="1" x14ac:dyDescent="0.4">
      <c r="B23" s="43">
        <v>9</v>
      </c>
      <c r="C23" s="44"/>
      <c r="D23" s="58"/>
      <c r="E23" s="58"/>
      <c r="F23" s="44"/>
      <c r="G23" s="44"/>
      <c r="H23" s="44"/>
      <c r="I23" s="45"/>
      <c r="J23" s="44"/>
      <c r="K23" s="46"/>
      <c r="L23" s="34"/>
      <c r="M23" s="53"/>
      <c r="N23" s="54"/>
      <c r="P23" s="67"/>
      <c r="Q23" s="67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59"/>
      <c r="E24" s="59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58"/>
      <c r="E25" s="5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58"/>
      <c r="E26" s="58"/>
      <c r="F26" s="44"/>
      <c r="G26" s="44"/>
      <c r="H26" s="44"/>
      <c r="I26" s="45"/>
      <c r="J26" s="44"/>
      <c r="K26" s="46"/>
      <c r="L26" s="34"/>
      <c r="M26" s="53"/>
      <c r="N26" s="54"/>
      <c r="P26" s="44"/>
      <c r="Q26" s="45"/>
      <c r="S26" s="66" t="s">
        <v>37</v>
      </c>
      <c r="T26" s="66"/>
    </row>
    <row r="27" spans="2:20" s="33" customFormat="1" ht="17" customHeight="1" x14ac:dyDescent="0.4">
      <c r="B27" s="43">
        <v>13</v>
      </c>
      <c r="C27" s="44"/>
      <c r="D27" s="59"/>
      <c r="E27" s="59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7"/>
      <c r="T27" s="67"/>
    </row>
    <row r="28" spans="2:20" s="33" customFormat="1" ht="17" customHeight="1" x14ac:dyDescent="0.4">
      <c r="B28" s="43">
        <v>14</v>
      </c>
      <c r="C28" s="44"/>
      <c r="D28" s="58"/>
      <c r="E28" s="58"/>
      <c r="F28" s="44"/>
      <c r="G28" s="44"/>
      <c r="H28" s="44"/>
      <c r="I28" s="45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58"/>
      <c r="E29" s="5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59"/>
      <c r="E30" s="59"/>
      <c r="F30" s="44"/>
      <c r="G30" s="44"/>
      <c r="H30" s="44"/>
      <c r="I30" s="45"/>
      <c r="J30" s="44"/>
      <c r="K30" s="46"/>
      <c r="L30" s="34"/>
      <c r="M30" s="53"/>
      <c r="N30" s="54"/>
      <c r="P30" s="66" t="s">
        <v>34</v>
      </c>
      <c r="Q30" s="66"/>
      <c r="S30" s="44"/>
      <c r="T30" s="45"/>
    </row>
    <row r="31" spans="2:20" s="33" customFormat="1" ht="17" customHeight="1" x14ac:dyDescent="0.4">
      <c r="B31" s="43">
        <v>17</v>
      </c>
      <c r="C31" s="44"/>
      <c r="D31" s="58"/>
      <c r="E31" s="58"/>
      <c r="F31" s="44"/>
      <c r="G31" s="44"/>
      <c r="H31" s="44"/>
      <c r="I31" s="45"/>
      <c r="J31" s="44"/>
      <c r="K31" s="46"/>
      <c r="L31" s="34"/>
      <c r="M31" s="53"/>
      <c r="N31" s="54"/>
      <c r="P31" s="67"/>
      <c r="Q31" s="67"/>
      <c r="S31" s="44"/>
      <c r="T31" s="45"/>
    </row>
    <row r="32" spans="2:20" s="33" customFormat="1" ht="17" customHeight="1" x14ac:dyDescent="0.4">
      <c r="B32" s="43">
        <v>18</v>
      </c>
      <c r="C32" s="44"/>
      <c r="D32" s="58"/>
      <c r="E32" s="58"/>
      <c r="F32" s="44"/>
      <c r="G32" s="44"/>
      <c r="H32" s="44"/>
      <c r="I32" s="45"/>
      <c r="J32" s="44"/>
      <c r="K32" s="46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59"/>
      <c r="E33" s="59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58"/>
      <c r="E34" s="5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58"/>
      <c r="E35" s="58"/>
      <c r="F35" s="44"/>
      <c r="G35" s="44"/>
      <c r="H35" s="44"/>
      <c r="I35" s="45"/>
      <c r="J35" s="44"/>
      <c r="K35" s="46"/>
      <c r="L35" s="34"/>
      <c r="M35" s="53"/>
      <c r="N35" s="54"/>
      <c r="P35" s="44"/>
      <c r="Q35" s="45"/>
    </row>
    <row r="36" spans="2:20" s="40" customFormat="1" ht="17" customHeight="1" x14ac:dyDescent="0.4">
      <c r="B36" s="43">
        <v>22</v>
      </c>
      <c r="C36" s="44"/>
      <c r="D36" s="59"/>
      <c r="E36" s="59"/>
      <c r="F36" s="44"/>
      <c r="G36" s="44"/>
      <c r="H36" s="44"/>
      <c r="I36" s="45"/>
      <c r="J36" s="44"/>
      <c r="K36" s="46"/>
      <c r="L36" s="34"/>
      <c r="M36" s="53"/>
      <c r="N36" s="54"/>
      <c r="P36" s="52"/>
      <c r="Q36" s="34">
        <f>SUM(Q32:Q35)</f>
        <v>0</v>
      </c>
      <c r="S36" s="66" t="s">
        <v>38</v>
      </c>
      <c r="T36" s="66"/>
    </row>
    <row r="37" spans="2:20" s="40" customFormat="1" ht="17" customHeight="1" x14ac:dyDescent="0.4">
      <c r="B37" s="43">
        <v>23</v>
      </c>
      <c r="C37" s="44"/>
      <c r="D37" s="58"/>
      <c r="E37" s="58"/>
      <c r="F37" s="44"/>
      <c r="G37" s="44"/>
      <c r="H37" s="44"/>
      <c r="I37" s="45"/>
      <c r="J37" s="44"/>
      <c r="K37" s="46"/>
      <c r="L37" s="34"/>
      <c r="M37" s="53"/>
      <c r="N37" s="54"/>
      <c r="S37" s="67"/>
      <c r="T37" s="67"/>
    </row>
    <row r="38" spans="2:20" s="40" customFormat="1" ht="17" customHeight="1" x14ac:dyDescent="0.4">
      <c r="B38" s="43">
        <v>24</v>
      </c>
      <c r="C38" s="44"/>
      <c r="D38" s="58"/>
      <c r="E38" s="58"/>
      <c r="F38" s="44"/>
      <c r="G38" s="44"/>
      <c r="H38" s="44"/>
      <c r="I38" s="45"/>
      <c r="J38" s="44"/>
      <c r="K38" s="46"/>
      <c r="L38" s="34"/>
      <c r="M38" s="53"/>
      <c r="N38" s="54"/>
      <c r="P38" s="66" t="s">
        <v>35</v>
      </c>
      <c r="Q38" s="66"/>
      <c r="S38" s="44">
        <v>23</v>
      </c>
      <c r="T38" s="45"/>
    </row>
    <row r="39" spans="2:20" ht="17" customHeight="1" x14ac:dyDescent="0.4">
      <c r="B39" s="43">
        <v>25</v>
      </c>
      <c r="C39" s="44"/>
      <c r="D39" s="59"/>
      <c r="E39" s="59"/>
      <c r="F39" s="44"/>
      <c r="G39" s="44"/>
      <c r="H39" s="44"/>
      <c r="I39" s="45"/>
      <c r="J39" s="44"/>
      <c r="K39" s="46"/>
      <c r="L39" s="34"/>
      <c r="M39" s="35"/>
      <c r="N39" s="35"/>
      <c r="P39" s="67"/>
      <c r="Q39" s="67"/>
      <c r="S39" s="44"/>
      <c r="T39" s="45"/>
    </row>
    <row r="40" spans="2:20" ht="17" customHeight="1" x14ac:dyDescent="0.4">
      <c r="B40" s="43">
        <v>26</v>
      </c>
      <c r="C40" s="44"/>
      <c r="D40" s="58"/>
      <c r="E40" s="58"/>
      <c r="F40" s="44"/>
      <c r="G40" s="44"/>
      <c r="H40" s="44"/>
      <c r="I40" s="45"/>
      <c r="J40" s="44"/>
      <c r="K40" s="46"/>
      <c r="L40" s="34"/>
      <c r="M40" s="53"/>
      <c r="N40" s="54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58"/>
      <c r="E41" s="58"/>
      <c r="F41" s="44"/>
      <c r="G41" s="44"/>
      <c r="H41" s="44"/>
      <c r="I41" s="45"/>
      <c r="J41" s="44"/>
      <c r="K41" s="46"/>
      <c r="L41" s="34"/>
      <c r="M41" s="53"/>
      <c r="N41" s="54"/>
      <c r="P41" s="44"/>
      <c r="Q41" s="45"/>
      <c r="S41" s="44" t="s">
        <v>48</v>
      </c>
      <c r="T41" s="45"/>
    </row>
    <row r="42" spans="2:20" ht="17" customHeight="1" x14ac:dyDescent="0.4">
      <c r="B42" s="43">
        <v>28</v>
      </c>
      <c r="C42" s="44"/>
      <c r="D42" s="59"/>
      <c r="E42" s="59"/>
      <c r="F42" s="44"/>
      <c r="G42" s="44"/>
      <c r="H42" s="44"/>
      <c r="I42" s="45"/>
      <c r="J42" s="44"/>
      <c r="K42" s="46"/>
      <c r="L42" s="34"/>
      <c r="M42" s="53"/>
      <c r="N42" s="54"/>
      <c r="P42" s="58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58"/>
      <c r="E43" s="58"/>
      <c r="F43" s="44"/>
      <c r="G43" s="44"/>
      <c r="H43" s="44"/>
      <c r="I43" s="47"/>
      <c r="J43" s="44"/>
      <c r="K43" s="46"/>
      <c r="L43" s="34"/>
      <c r="M43" s="53"/>
      <c r="N43" s="54"/>
      <c r="P43" s="58"/>
      <c r="Q43" s="45"/>
    </row>
    <row r="44" spans="2:20" ht="17" customHeight="1" x14ac:dyDescent="0.4">
      <c r="B44" s="43">
        <v>30</v>
      </c>
      <c r="C44" s="44"/>
      <c r="D44" s="59"/>
      <c r="E44" s="59"/>
      <c r="F44" s="44"/>
      <c r="G44" s="44"/>
      <c r="H44" s="44"/>
      <c r="I44" s="45"/>
      <c r="J44" s="44"/>
      <c r="K44" s="46"/>
      <c r="L44" s="34"/>
      <c r="M44" s="35"/>
      <c r="N44" s="69"/>
      <c r="P44" s="52"/>
      <c r="Q44" s="34">
        <f>SUM(Q40:Q43)</f>
        <v>0</v>
      </c>
      <c r="S44" s="66" t="s">
        <v>39</v>
      </c>
      <c r="T44" s="66"/>
    </row>
    <row r="45" spans="2:20" ht="17" customHeight="1" x14ac:dyDescent="0.4">
      <c r="B45" s="43">
        <v>31</v>
      </c>
      <c r="C45" s="44"/>
      <c r="D45" s="59"/>
      <c r="E45" s="59"/>
      <c r="F45" s="44"/>
      <c r="G45" s="44"/>
      <c r="H45" s="44"/>
      <c r="I45" s="47"/>
      <c r="J45" s="44"/>
      <c r="K45" s="46"/>
      <c r="L45" s="34"/>
      <c r="M45" s="53"/>
      <c r="N45" s="55"/>
      <c r="S45" s="67"/>
      <c r="T45" s="67"/>
    </row>
    <row r="46" spans="2:20" ht="17" customHeight="1" x14ac:dyDescent="0.4">
      <c r="B46" s="43">
        <v>32</v>
      </c>
      <c r="C46" s="44"/>
      <c r="D46" s="59"/>
      <c r="E46" s="59"/>
      <c r="F46" s="44"/>
      <c r="G46" s="44"/>
      <c r="H46" s="44"/>
      <c r="I46" s="47"/>
      <c r="J46" s="44"/>
      <c r="K46" s="46"/>
      <c r="L46" s="34"/>
      <c r="M46" s="53"/>
      <c r="N46" s="54"/>
      <c r="S46" s="44"/>
      <c r="T46" s="45"/>
    </row>
    <row r="47" spans="2:20" ht="15.75" customHeight="1" x14ac:dyDescent="0.4">
      <c r="B47" s="43">
        <v>33</v>
      </c>
      <c r="C47" s="44"/>
      <c r="D47" s="59"/>
      <c r="E47" s="59"/>
      <c r="F47" s="44"/>
      <c r="G47" s="44"/>
      <c r="H47" s="44"/>
      <c r="I47" s="47"/>
      <c r="J47" s="44"/>
      <c r="K47" s="46"/>
      <c r="M47" s="53"/>
      <c r="N47" s="55"/>
      <c r="S47" s="44"/>
      <c r="T47" s="45"/>
    </row>
    <row r="48" spans="2:20" ht="15.75" customHeight="1" x14ac:dyDescent="0.4">
      <c r="B48" s="43">
        <v>34</v>
      </c>
      <c r="C48" s="44"/>
      <c r="D48" s="59"/>
      <c r="E48" s="59"/>
      <c r="F48" s="44"/>
      <c r="G48" s="44"/>
      <c r="H48" s="44"/>
      <c r="I48" s="45"/>
      <c r="J48" s="44"/>
      <c r="K48" s="46"/>
      <c r="M48" s="35"/>
      <c r="N48" s="35"/>
      <c r="S48" s="44"/>
      <c r="T48" s="45"/>
    </row>
    <row r="49" spans="2:20" ht="15.75" customHeight="1" x14ac:dyDescent="0.4">
      <c r="B49" s="43">
        <v>35</v>
      </c>
      <c r="C49" s="44"/>
      <c r="D49" s="59"/>
      <c r="E49" s="59"/>
      <c r="F49" s="44"/>
      <c r="G49" s="44"/>
      <c r="H49" s="60"/>
      <c r="I49" s="45"/>
      <c r="J49" s="44"/>
      <c r="K49" s="4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5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5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5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31</v>
      </c>
      <c r="I57" s="31">
        <f>SUM(I15:I56)</f>
        <v>0</v>
      </c>
      <c r="J57" s="30" t="s">
        <v>31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28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24</v>
      </c>
      <c r="G62" s="18"/>
      <c r="H62" s="18"/>
      <c r="I62" s="18" t="s">
        <v>24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S44:T45"/>
    <mergeCell ref="P30:Q31"/>
    <mergeCell ref="P38:Q39"/>
    <mergeCell ref="S17:T18"/>
    <mergeCell ref="S26:T27"/>
    <mergeCell ref="S36:T37"/>
    <mergeCell ref="B3:K3"/>
    <mergeCell ref="B4:K4"/>
    <mergeCell ref="E7:F7"/>
    <mergeCell ref="P15:Q16"/>
    <mergeCell ref="P22:Q23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zoomScale="70" zoomScaleNormal="70" workbookViewId="0">
      <selection activeCell="G16" sqref="G16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49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42</v>
      </c>
      <c r="F7" s="68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70" t="str">
        <f>IF(C15="", "","1")</f>
        <v/>
      </c>
      <c r="C15" s="71" t="str">
        <f>IF(Sheet1!P17=0,"",Sheet1!P17)</f>
        <v/>
      </c>
      <c r="D15" s="72" t="str">
        <f>IF(C15="", "", VLOOKUP(C15,Sheet1!C15:K56,2,1))</f>
        <v/>
      </c>
      <c r="E15" s="72" t="str">
        <f>IF(C15="", "",VLOOKUP(C15,Sheet1!C15:K56,3,1))</f>
        <v/>
      </c>
      <c r="F15" s="72" t="str">
        <f>IF(C15="", "",VLOOKUP(C15,Sheet1!C15:K56,4,1))</f>
        <v/>
      </c>
      <c r="G15" s="72" t="str">
        <f>IF(C15="", "",VLOOKUP(C15,Sheet1!C15:K56,5,1))</f>
        <v/>
      </c>
      <c r="H15" s="72" t="str">
        <f>IF(C15="", "",VLOOKUP(C15,Sheet1!C15:K56,6,1))</f>
        <v/>
      </c>
      <c r="I15" s="72" t="str">
        <f>IF(C15="", "",VLOOKUP(C15,Sheet1!C15:K56,7,1))</f>
        <v/>
      </c>
      <c r="J15" s="72" t="str">
        <f>IF(C15="", "",VLOOKUP(C15,Sheet1!C15:K56,8,1))</f>
        <v/>
      </c>
      <c r="K15" s="72" t="str">
        <f>IF(C15="", "",VLOOKUP(C15,Sheet1!C15:K56,9,1))</f>
        <v/>
      </c>
      <c r="L15" s="34"/>
    </row>
    <row r="16" spans="2:12" ht="20" customHeight="1" x14ac:dyDescent="0.45">
      <c r="B16" s="70" t="str">
        <f>IF(C16="", "","2")</f>
        <v/>
      </c>
      <c r="C16" s="71" t="str">
        <f>IF(Sheet1!P18=0,"",Sheet1!P18)</f>
        <v/>
      </c>
      <c r="D16" s="72" t="str">
        <f>IF(C16="", "",VLOOKUP(C16,Sheet1!C15:K57,2,1))</f>
        <v/>
      </c>
      <c r="E16" s="72" t="str">
        <f>IF(C16="", "",VLOOKUP(C16,Sheet1!C15:K57,3,1))</f>
        <v/>
      </c>
      <c r="F16" s="72" t="str">
        <f>IF(C16="", "",VLOOKUP(C16,Sheet1!C15:K57,4,1))</f>
        <v/>
      </c>
      <c r="G16" s="72" t="str">
        <f>IF(C16="", "",VLOOKUP(C16,Sheet1!C15:K57,5,1))</f>
        <v/>
      </c>
      <c r="H16" s="72" t="str">
        <f>IF(C16="", "",VLOOKUP(C16,Sheet1!C15:K57,6,1))</f>
        <v/>
      </c>
      <c r="I16" s="72" t="str">
        <f>IF(C16="", "",VLOOKUP(C16,Sheet1!C15:K57,7,1))</f>
        <v/>
      </c>
      <c r="J16" s="72" t="str">
        <f>IF(C16="", "",VLOOKUP(C16,Sheet1!C15:K57,8,1))</f>
        <v/>
      </c>
      <c r="K16" s="72" t="str">
        <f>IF(C16="", "",VLOOKUP(C16,Sheet1!C15:K57,9,1))</f>
        <v/>
      </c>
    </row>
    <row r="17" spans="2:11" ht="20" customHeight="1" x14ac:dyDescent="0.45">
      <c r="B17" s="70" t="str">
        <f>IF(C17="", "","3")</f>
        <v/>
      </c>
      <c r="C17" s="71" t="str">
        <f>IF(Sheet1!P19=0,"",Sheet1!P19)</f>
        <v/>
      </c>
      <c r="D17" s="72" t="str">
        <f>IF(C17="", "",VLOOKUP(C17,Sheet1!C15:K58,2,1))</f>
        <v/>
      </c>
      <c r="E17" s="72" t="str">
        <f>IF(C17="", "",VLOOKUP(C17,Sheet1!C15:K58,3,1))</f>
        <v/>
      </c>
      <c r="F17" s="72" t="str">
        <f>IF(C17="", "",VLOOKUP(C17,Sheet1!C15:K58,4,1))</f>
        <v/>
      </c>
      <c r="G17" s="72" t="str">
        <f>IF(C17="", "",VLOOKUP(C17,Sheet1!C15:K58,5,1))</f>
        <v/>
      </c>
      <c r="H17" s="72" t="str">
        <f>IF(C17="", "",VLOOKUP(C17,Sheet1!C15:K58,6,1))</f>
        <v/>
      </c>
      <c r="I17" s="72" t="str">
        <f>IF(C17="", "",VLOOKUP(C17,Sheet1!C15:K58,7,1))</f>
        <v/>
      </c>
      <c r="J17" s="72" t="str">
        <f>IF(C17="", "",VLOOKUP(C17,Sheet1!C15:K58,8,1))</f>
        <v/>
      </c>
      <c r="K17" s="72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H18" sqref="H18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43</v>
      </c>
      <c r="F7" s="68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70" t="str">
        <f>IF(C15="", "","1")</f>
        <v/>
      </c>
      <c r="C15" s="71" t="str">
        <f>IF(Sheet1!P24=0,"",Sheet1!P24)</f>
        <v/>
      </c>
      <c r="D15" s="72" t="str">
        <f>IF(C15="", "", VLOOKUP(C15,Sheet1!C15:K56,2,1))</f>
        <v/>
      </c>
      <c r="E15" s="72" t="str">
        <f>IF(C15="", "",VLOOKUP(C15,Sheet1!C15:K56,3,1))</f>
        <v/>
      </c>
      <c r="F15" s="72" t="str">
        <f>IF(C15="", "",VLOOKUP(C15,Sheet1!C15:K56,4,1))</f>
        <v/>
      </c>
      <c r="G15" s="72" t="str">
        <f>IF(C15="", "",VLOOKUP(C15,Sheet1!C15:K56,5,1))</f>
        <v/>
      </c>
      <c r="H15" s="72" t="str">
        <f>IF(C15="", "",VLOOKUP(C15,Sheet1!C15:K56,6,1))</f>
        <v/>
      </c>
      <c r="I15" s="72" t="str">
        <f>IF(C15="", "",VLOOKUP(C15,Sheet1!C15:K56,7,1))</f>
        <v/>
      </c>
      <c r="J15" s="72" t="str">
        <f>IF(C15="", "",VLOOKUP(C15,Sheet1!C15:K56,8,1))</f>
        <v/>
      </c>
      <c r="K15" s="72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70" t="str">
        <f>IF(C17="", "","3")</f>
        <v/>
      </c>
      <c r="C17" s="71" t="str">
        <f>IF(Sheet1!P26=0,"",Sheet1!P26)</f>
        <v/>
      </c>
      <c r="D17" s="72" t="str">
        <f>IF(C17="", "",VLOOKUP(C17,Sheet1!C15:K58,2,1))</f>
        <v/>
      </c>
      <c r="E17" s="72" t="str">
        <f>IF(C17="", "",VLOOKUP(C17,Sheet1!C15:K58,3,1))</f>
        <v/>
      </c>
      <c r="F17" s="72" t="str">
        <f>IF(C17="", "",VLOOKUP(C17,Sheet1!C15:K58,4,1))</f>
        <v/>
      </c>
      <c r="G17" s="72" t="str">
        <f>IF(C17="", "",VLOOKUP(C17,Sheet1!C15:K58,5,1))</f>
        <v/>
      </c>
      <c r="H17" s="72" t="str">
        <f>IF(C17="", "",VLOOKUP(C17,Sheet1!C15:K58,6,1))</f>
        <v/>
      </c>
      <c r="I17" s="72" t="str">
        <f>IF(C17="", "",VLOOKUP(C17,Sheet1!C15:K58,7,1))</f>
        <v/>
      </c>
      <c r="J17" s="72" t="str">
        <f>IF(C17="", "",VLOOKUP(C17,Sheet1!C15:K58,8,1))</f>
        <v/>
      </c>
      <c r="K17" s="72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E30" sqref="E30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44</v>
      </c>
      <c r="F7" s="68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70" t="str">
        <f>IF(C15="", "","1")</f>
        <v/>
      </c>
      <c r="C15" s="71" t="str">
        <f>IF(Sheet1!P32=0,"",Sheet1!P32)</f>
        <v/>
      </c>
      <c r="D15" s="72" t="str">
        <f>IF(C15="", "", VLOOKUP(C15,Sheet1!C15:K56,2,1))</f>
        <v/>
      </c>
      <c r="E15" s="72" t="str">
        <f>IF(C15="", "",VLOOKUP(C15,Sheet1!C15:K56,3,1))</f>
        <v/>
      </c>
      <c r="F15" s="72" t="str">
        <f>IF(C15="", "",VLOOKUP(C15,Sheet1!C15:K56,4,1))</f>
        <v/>
      </c>
      <c r="G15" s="72" t="str">
        <f>IF(C15="", "",VLOOKUP(C15,Sheet1!C15:K56,5,1))</f>
        <v/>
      </c>
      <c r="H15" s="72" t="str">
        <f>IF(C15="", "",VLOOKUP(C15,Sheet1!C15:K56,6,1))</f>
        <v/>
      </c>
      <c r="I15" s="72" t="str">
        <f>IF(C15="", "",VLOOKUP(C15,Sheet1!C15:K56,7,1))</f>
        <v/>
      </c>
      <c r="J15" s="72" t="str">
        <f>IF(C15="", "",VLOOKUP(C15,Sheet1!C15:K56,8,1))</f>
        <v/>
      </c>
      <c r="K15" s="72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H16" sqref="H16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45</v>
      </c>
      <c r="F7" s="68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70" t="str">
        <f>IF(C15="", "","1")</f>
        <v/>
      </c>
      <c r="C15" s="71" t="str">
        <f>IF(Sheet1!P40=0,"",Sheet1!P40)</f>
        <v/>
      </c>
      <c r="D15" s="72" t="str">
        <f>IF(C15="", "", VLOOKUP(C15,Sheet1!C15:K56,2,1))</f>
        <v/>
      </c>
      <c r="E15" s="72" t="str">
        <f>IF(C15="", "",VLOOKUP(C15,Sheet1!C15:K56,3,1))</f>
        <v/>
      </c>
      <c r="F15" s="72" t="str">
        <f>IF(C15="", "",VLOOKUP(C15,Sheet1!C15:K56,4,1))</f>
        <v/>
      </c>
      <c r="G15" s="72" t="str">
        <f>IF(C15="", "",VLOOKUP(C15,Sheet1!C15:K56,5,1))</f>
        <v/>
      </c>
      <c r="H15" s="72" t="str">
        <f>IF(C15="", "",VLOOKUP(C15,Sheet1!C15:K56,6,1))</f>
        <v/>
      </c>
      <c r="I15" s="72" t="str">
        <f>IF(C15="", "",VLOOKUP(C15,Sheet1!C15:K56,7,1))</f>
        <v/>
      </c>
      <c r="J15" s="72" t="str">
        <f>IF(C15="", "",VLOOKUP(C15,Sheet1!C15:K56,8,1))</f>
        <v/>
      </c>
      <c r="K15" s="72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H16" sqref="H16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46</v>
      </c>
      <c r="F7" s="68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70" t="str">
        <f>IF(C15="", "","1")</f>
        <v/>
      </c>
      <c r="C15" s="71" t="str">
        <f>IF(Sheet1!S19=0,"",Sheet1!S19)</f>
        <v/>
      </c>
      <c r="D15" s="72" t="str">
        <f>IF(C15="", "", VLOOKUP(C15,Sheet1!C15:K56,2,1))</f>
        <v/>
      </c>
      <c r="E15" s="72" t="str">
        <f>IF(C15="", "",VLOOKUP(C15,Sheet1!C15:K56,3,1))</f>
        <v/>
      </c>
      <c r="F15" s="72" t="str">
        <f>IF(C15="", "",VLOOKUP(C15,Sheet1!C15:K56,4,1))</f>
        <v/>
      </c>
      <c r="G15" s="72" t="str">
        <f>IF(C15="", "",VLOOKUP(C15,Sheet1!C15:K56,5,1))</f>
        <v/>
      </c>
      <c r="H15" s="72" t="str">
        <f>IF(C15="", "",VLOOKUP(C15,Sheet1!C15:K56,6,1))</f>
        <v/>
      </c>
      <c r="I15" s="72" t="str">
        <f>IF(C15="", "",VLOOKUP(C15,Sheet1!C15:K56,7,1))</f>
        <v/>
      </c>
      <c r="J15" s="72" t="str">
        <f>IF(C15="", "",VLOOKUP(C15,Sheet1!C15:K56,8,1))</f>
        <v/>
      </c>
      <c r="K15" s="72" t="str">
        <f>IF(C15="", "",VLOOKUP(C15,Sheet1!C15:K56,9,1))</f>
        <v/>
      </c>
      <c r="L15" s="34"/>
    </row>
    <row r="16" spans="2:12" ht="20" customHeight="1" x14ac:dyDescent="0.45">
      <c r="B16" s="70" t="str">
        <f>IF(C16="", "","2")</f>
        <v/>
      </c>
      <c r="C16" s="71" t="str">
        <f>IF(Sheet1!S20=0,"",Sheet1!S20)</f>
        <v/>
      </c>
      <c r="D16" s="72" t="str">
        <f>IF(C16="", "",VLOOKUP(C16,Sheet1!C15:K57,2,1))</f>
        <v/>
      </c>
      <c r="E16" s="72" t="str">
        <f>IF(C16="", "",VLOOKUP(C16,Sheet1!C15:K57,3,1))</f>
        <v/>
      </c>
      <c r="F16" s="72" t="str">
        <f>IF(C16="", "",VLOOKUP(C16,Sheet1!C15:K57,4,1))</f>
        <v/>
      </c>
      <c r="G16" s="72" t="str">
        <f>IF(C16="", "",VLOOKUP(C16,Sheet1!C15:K57,5,1))</f>
        <v/>
      </c>
      <c r="H16" s="72" t="str">
        <f>IF(C16="", "",VLOOKUP(C16,Sheet1!C15:K57,6,1))</f>
        <v/>
      </c>
      <c r="I16" s="72" t="str">
        <f>IF(C16="", "",VLOOKUP(C16,Sheet1!C15:K57,7,1))</f>
        <v/>
      </c>
      <c r="J16" s="72" t="str">
        <f>IF(C16="", "",VLOOKUP(C16,Sheet1!C15:K57,8,1))</f>
        <v/>
      </c>
      <c r="K16" s="72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abSelected="1" topLeftCell="A3" zoomScale="70" zoomScaleNormal="70" workbookViewId="0">
      <selection activeCell="D20" sqref="D20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47</v>
      </c>
      <c r="F7" s="68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70" t="str">
        <f>IF(C15="", "","1")</f>
        <v/>
      </c>
      <c r="C15" s="71" t="str">
        <f>IF(Sheet1!S28=0,"",Sheet1!S28)</f>
        <v/>
      </c>
      <c r="D15" s="72" t="str">
        <f>IF(C15="", "", VLOOKUP(C15,Sheet1!C15:K56,2,1))</f>
        <v/>
      </c>
      <c r="E15" s="72" t="str">
        <f>IF(C15="", "",VLOOKUP(C15,Sheet1!C15:K56,3,1))</f>
        <v/>
      </c>
      <c r="F15" s="72" t="str">
        <f>IF(C15="", "",VLOOKUP(C15,Sheet1!C15:K56,4,1))</f>
        <v/>
      </c>
      <c r="G15" s="72" t="str">
        <f>IF(C15="", "",VLOOKUP(C15,Sheet1!C15:K56,5,1))</f>
        <v/>
      </c>
      <c r="H15" s="72" t="str">
        <f>IF(C15="", "",VLOOKUP(C15,Sheet1!C15:K56,6,1))</f>
        <v/>
      </c>
      <c r="I15" s="72" t="str">
        <f>IF(C15="", "",VLOOKUP(C15,Sheet1!C15:K56,7,1))</f>
        <v/>
      </c>
      <c r="J15" s="72" t="str">
        <f>IF(C15="", "",VLOOKUP(C15,Sheet1!C15:K56,8,1))</f>
        <v/>
      </c>
      <c r="K15" s="72" t="str">
        <f>IF(C15="", "",VLOOKUP(C15,Sheet1!C15:K56,9,1))</f>
        <v/>
      </c>
      <c r="L15" s="34"/>
    </row>
    <row r="16" spans="2:12" ht="20" customHeight="1" x14ac:dyDescent="0.45">
      <c r="B16" s="70" t="str">
        <f>IF(C16="", "","2")</f>
        <v/>
      </c>
      <c r="C16" s="71" t="str">
        <f>IF(Sheet1!S29=0,"",Sheet1!S29)</f>
        <v/>
      </c>
      <c r="D16" s="72" t="str">
        <f>IF(C16="", "",VLOOKUP(C16,Sheet1!C15:K57,2,1))</f>
        <v/>
      </c>
      <c r="E16" s="72" t="str">
        <f>IF(C16="", "",VLOOKUP(C16,Sheet1!C15:K57,3,1))</f>
        <v/>
      </c>
      <c r="F16" s="72" t="str">
        <f>IF(C16="", "",VLOOKUP(C16,Sheet1!C15:K57,4,1))</f>
        <v/>
      </c>
      <c r="G16" s="72" t="str">
        <f>IF(C16="", "",VLOOKUP(C16,Sheet1!C15:K57,5,1))</f>
        <v/>
      </c>
      <c r="H16" s="72" t="str">
        <f>IF(C16="", "",VLOOKUP(C16,Sheet1!C15:K57,6,1))</f>
        <v/>
      </c>
      <c r="I16" s="72" t="str">
        <f>IF(C16="", "",VLOOKUP(C16,Sheet1!C15:K57,7,1))</f>
        <v/>
      </c>
      <c r="J16" s="72" t="str">
        <f>IF(C16="", "",VLOOKUP(C16,Sheet1!C15:K57,8,1))</f>
        <v/>
      </c>
      <c r="K16" s="72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70" t="str">
        <f>IF(C18="", "","4")</f>
        <v/>
      </c>
      <c r="C18" s="71" t="str">
        <f>IF(Sheet1!S31=0,"",Sheet1!S31)</f>
        <v/>
      </c>
      <c r="D18" s="72" t="str">
        <f>IF(C18="", "",VLOOKUP(C18,Sheet1!C15:K59,2,1))</f>
        <v/>
      </c>
      <c r="E18" s="72" t="str">
        <f>IF(C18="", "",VLOOKUP(C18,Sheet1!C15:K59,3,1))</f>
        <v/>
      </c>
      <c r="F18" s="72" t="str">
        <f>IF(C18="", "",VLOOKUP(C18,Sheet1!C15:K59,4,1))</f>
        <v/>
      </c>
      <c r="G18" s="72" t="str">
        <f>IF(C18="", "",VLOOKUP(C18,Sheet1!C15:K59,5,1))</f>
        <v/>
      </c>
      <c r="H18" s="72" t="str">
        <f>IF(C18="", "",VLOOKUP(C18,Sheet1!C15:K59,6,1))</f>
        <v/>
      </c>
      <c r="I18" s="72" t="str">
        <f>IF(C18="", "",VLOOKUP(C18,Sheet1!C15:K59,7,1))</f>
        <v/>
      </c>
      <c r="J18" s="72" t="str">
        <f>IF(C18="", "",VLOOKUP(C18,Sheet1!C15:K59,8,1))</f>
        <v/>
      </c>
      <c r="K18" s="72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BSF-1</vt:lpstr>
      <vt:lpstr>BSF-2</vt:lpstr>
      <vt:lpstr>BSF-3</vt:lpstr>
      <vt:lpstr>BSF-4</vt:lpstr>
      <vt:lpstr>BSF-5</vt:lpstr>
      <vt:lpstr>BSF-6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2024-06-06T07:54:43Z</cp:lastPrinted>
  <dcterms:created xsi:type="dcterms:W3CDTF">2006-09-16T00:00:00Z</dcterms:created>
  <dcterms:modified xsi:type="dcterms:W3CDTF">2024-06-06T08:38:58Z</dcterms:modified>
</cp:coreProperties>
</file>